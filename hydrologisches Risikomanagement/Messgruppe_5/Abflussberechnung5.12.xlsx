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Desktop\x\Uni\5.Semester\Protokolle\"/>
    </mc:Choice>
  </mc:AlternateContent>
  <xr:revisionPtr revIDLastSave="0" documentId="13_ncr:1_{89219B8C-44E2-45D1-AAF7-61902B933715}" xr6:coauthVersionLast="41" xr6:coauthVersionMax="44" xr10:uidLastSave="{00000000-0000-0000-0000-000000000000}"/>
  <bookViews>
    <workbookView xWindow="3285" yWindow="2340" windowWidth="14670" windowHeight="8325" firstSheet="2" activeTab="4" xr2:uid="{F4F6D6A5-07AF-4588-8D77-3205CAE94151}"/>
  </bookViews>
  <sheets>
    <sheet name="S1_051219" sheetId="1" r:id="rId1"/>
    <sheet name="S2_051219" sheetId="3" r:id="rId2"/>
    <sheet name="S3_051219" sheetId="5" r:id="rId3"/>
    <sheet name="S4_051219" sheetId="6" r:id="rId4"/>
    <sheet name="S5_051219" sheetId="7" r:id="rId5"/>
    <sheet name="Rechnung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1" l="1"/>
  <c r="K14" i="1" s="1"/>
  <c r="K18" i="1" s="1"/>
  <c r="J13" i="1"/>
  <c r="AR14" i="7"/>
  <c r="AR18" i="7" s="1"/>
  <c r="AN14" i="7"/>
  <c r="AN18" i="7" s="1"/>
  <c r="AT13" i="7"/>
  <c r="AT14" i="7" s="1"/>
  <c r="AT18" i="7" s="1"/>
  <c r="AS13" i="7"/>
  <c r="AS14" i="7" s="1"/>
  <c r="AS18" i="7" s="1"/>
  <c r="AR13" i="7"/>
  <c r="AQ13" i="7"/>
  <c r="AQ14" i="7" s="1"/>
  <c r="AQ18" i="7" s="1"/>
  <c r="AP13" i="7"/>
  <c r="AP14" i="7" s="1"/>
  <c r="AP18" i="7" s="1"/>
  <c r="AO13" i="7"/>
  <c r="AO14" i="7" s="1"/>
  <c r="AO18" i="7" s="1"/>
  <c r="AN13" i="7"/>
  <c r="AM13" i="7"/>
  <c r="AM14" i="7" s="1"/>
  <c r="AM18" i="7" s="1"/>
  <c r="AL13" i="7"/>
  <c r="AL14" i="7" s="1"/>
  <c r="AL18" i="7" s="1"/>
  <c r="AK13" i="7"/>
  <c r="AK14" i="7" s="1"/>
  <c r="AK18" i="7" s="1"/>
  <c r="AJ13" i="7"/>
  <c r="AJ14" i="7" s="1"/>
  <c r="AJ18" i="7" s="1"/>
  <c r="AI13" i="7"/>
  <c r="AI14" i="7" s="1"/>
  <c r="AI18" i="7" s="1"/>
  <c r="AH13" i="7"/>
  <c r="AH14" i="7" s="1"/>
  <c r="AH18" i="7" s="1"/>
  <c r="AG13" i="7"/>
  <c r="AG14" i="7" s="1"/>
  <c r="AG18" i="7" s="1"/>
  <c r="AF13" i="7"/>
  <c r="AF14" i="7" s="1"/>
  <c r="AF18" i="7" s="1"/>
  <c r="AE13" i="7"/>
  <c r="AE14" i="7" s="1"/>
  <c r="AE18" i="7" s="1"/>
  <c r="AD13" i="7"/>
  <c r="AD14" i="7" s="1"/>
  <c r="AD18" i="7" s="1"/>
  <c r="AC13" i="7"/>
  <c r="AC14" i="7" s="1"/>
  <c r="AC18" i="7" s="1"/>
  <c r="AB13" i="7"/>
  <c r="AB14" i="7" s="1"/>
  <c r="AB18" i="7" s="1"/>
  <c r="AA13" i="7"/>
  <c r="AA14" i="7" s="1"/>
  <c r="AA18" i="7" s="1"/>
  <c r="Z13" i="7"/>
  <c r="Z14" i="7" s="1"/>
  <c r="Z18" i="7" s="1"/>
  <c r="Y13" i="7"/>
  <c r="Y14" i="7" s="1"/>
  <c r="Y18" i="7" s="1"/>
  <c r="X13" i="7"/>
  <c r="X14" i="7" s="1"/>
  <c r="X18" i="7" s="1"/>
  <c r="W13" i="7"/>
  <c r="W14" i="7" s="1"/>
  <c r="W18" i="7" s="1"/>
  <c r="V13" i="7"/>
  <c r="V14" i="7" s="1"/>
  <c r="V18" i="7" s="1"/>
  <c r="U13" i="7"/>
  <c r="U14" i="7" s="1"/>
  <c r="U18" i="7" s="1"/>
  <c r="T13" i="7"/>
  <c r="T14" i="7" s="1"/>
  <c r="T18" i="7" s="1"/>
  <c r="S13" i="7"/>
  <c r="S14" i="7" s="1"/>
  <c r="S18" i="7" s="1"/>
  <c r="R13" i="7"/>
  <c r="R14" i="7" s="1"/>
  <c r="R18" i="7" s="1"/>
  <c r="Q13" i="7"/>
  <c r="Q14" i="7" s="1"/>
  <c r="Q18" i="7" s="1"/>
  <c r="P13" i="7"/>
  <c r="P14" i="7" s="1"/>
  <c r="P18" i="7" s="1"/>
  <c r="O13" i="7"/>
  <c r="O14" i="7" s="1"/>
  <c r="O18" i="7" s="1"/>
  <c r="N13" i="7"/>
  <c r="N14" i="7" s="1"/>
  <c r="N18" i="7" s="1"/>
  <c r="M13" i="7"/>
  <c r="M14" i="7" s="1"/>
  <c r="M18" i="7" s="1"/>
  <c r="L13" i="7"/>
  <c r="L14" i="7" s="1"/>
  <c r="L18" i="7" s="1"/>
  <c r="K13" i="7"/>
  <c r="K14" i="7" s="1"/>
  <c r="K18" i="7" s="1"/>
  <c r="J13" i="7"/>
  <c r="J14" i="7" s="1"/>
  <c r="J18" i="7" s="1"/>
  <c r="I13" i="7"/>
  <c r="I14" i="7" s="1"/>
  <c r="I18" i="7" s="1"/>
  <c r="H13" i="7"/>
  <c r="H14" i="7" s="1"/>
  <c r="H18" i="7" s="1"/>
  <c r="G13" i="7"/>
  <c r="G14" i="7" s="1"/>
  <c r="G18" i="7" s="1"/>
  <c r="F13" i="7"/>
  <c r="F14" i="7" s="1"/>
  <c r="F18" i="7" s="1"/>
  <c r="E13" i="7"/>
  <c r="E14" i="7" s="1"/>
  <c r="E18" i="7" s="1"/>
  <c r="D13" i="7"/>
  <c r="D14" i="7" s="1"/>
  <c r="D18" i="7" s="1"/>
  <c r="C13" i="7"/>
  <c r="C14" i="7" s="1"/>
  <c r="C18" i="7" s="1"/>
  <c r="B13" i="7"/>
  <c r="B14" i="7" s="1"/>
  <c r="B18" i="7" s="1"/>
  <c r="AS14" i="6"/>
  <c r="AS18" i="6" s="1"/>
  <c r="AO14" i="6"/>
  <c r="AO18" i="6" s="1"/>
  <c r="AK14" i="6"/>
  <c r="AK18" i="6" s="1"/>
  <c r="AT13" i="6"/>
  <c r="AT14" i="6" s="1"/>
  <c r="AT18" i="6" s="1"/>
  <c r="AS13" i="6"/>
  <c r="AR13" i="6"/>
  <c r="AR14" i="6" s="1"/>
  <c r="AR18" i="6" s="1"/>
  <c r="AQ13" i="6"/>
  <c r="AQ14" i="6" s="1"/>
  <c r="AQ18" i="6" s="1"/>
  <c r="AP13" i="6"/>
  <c r="AP14" i="6" s="1"/>
  <c r="AP18" i="6" s="1"/>
  <c r="AO13" i="6"/>
  <c r="AN13" i="6"/>
  <c r="AN14" i="6" s="1"/>
  <c r="AN18" i="6" s="1"/>
  <c r="AM13" i="6"/>
  <c r="AM14" i="6" s="1"/>
  <c r="AM18" i="6" s="1"/>
  <c r="AL13" i="6"/>
  <c r="AL14" i="6" s="1"/>
  <c r="AL18" i="6" s="1"/>
  <c r="AK13" i="6"/>
  <c r="AJ13" i="6"/>
  <c r="AJ14" i="6" s="1"/>
  <c r="AJ18" i="6" s="1"/>
  <c r="AI13" i="6"/>
  <c r="AI14" i="6" s="1"/>
  <c r="AI18" i="6" s="1"/>
  <c r="AH13" i="6"/>
  <c r="AH14" i="6" s="1"/>
  <c r="AH18" i="6" s="1"/>
  <c r="AG13" i="6"/>
  <c r="AG14" i="6" s="1"/>
  <c r="AG18" i="6" s="1"/>
  <c r="AF13" i="6"/>
  <c r="AF14" i="6" s="1"/>
  <c r="AF18" i="6" s="1"/>
  <c r="AE13" i="6"/>
  <c r="AE14" i="6" s="1"/>
  <c r="AE18" i="6" s="1"/>
  <c r="AD13" i="6"/>
  <c r="AD14" i="6" s="1"/>
  <c r="AD18" i="6" s="1"/>
  <c r="AC13" i="6"/>
  <c r="AC14" i="6" s="1"/>
  <c r="AC18" i="6" s="1"/>
  <c r="AB13" i="6"/>
  <c r="AB14" i="6" s="1"/>
  <c r="AB18" i="6" s="1"/>
  <c r="AA13" i="6"/>
  <c r="AA14" i="6" s="1"/>
  <c r="AA18" i="6" s="1"/>
  <c r="Z13" i="6"/>
  <c r="Z14" i="6" s="1"/>
  <c r="Z18" i="6" s="1"/>
  <c r="Y13" i="6"/>
  <c r="Y14" i="6" s="1"/>
  <c r="Y18" i="6" s="1"/>
  <c r="X13" i="6"/>
  <c r="X14" i="6" s="1"/>
  <c r="X18" i="6" s="1"/>
  <c r="W13" i="6"/>
  <c r="W14" i="6" s="1"/>
  <c r="W18" i="6" s="1"/>
  <c r="V13" i="6"/>
  <c r="V14" i="6" s="1"/>
  <c r="V18" i="6" s="1"/>
  <c r="U13" i="6"/>
  <c r="U14" i="6" s="1"/>
  <c r="U18" i="6" s="1"/>
  <c r="T13" i="6"/>
  <c r="T14" i="6" s="1"/>
  <c r="T18" i="6" s="1"/>
  <c r="S13" i="6"/>
  <c r="S14" i="6" s="1"/>
  <c r="S18" i="6" s="1"/>
  <c r="R13" i="6"/>
  <c r="R14" i="6" s="1"/>
  <c r="R18" i="6" s="1"/>
  <c r="Q13" i="6"/>
  <c r="Q14" i="6" s="1"/>
  <c r="Q18" i="6" s="1"/>
  <c r="P13" i="6"/>
  <c r="P14" i="6" s="1"/>
  <c r="P18" i="6" s="1"/>
  <c r="O13" i="6"/>
  <c r="O14" i="6" s="1"/>
  <c r="O18" i="6" s="1"/>
  <c r="N13" i="6"/>
  <c r="N14" i="6" s="1"/>
  <c r="N18" i="6" s="1"/>
  <c r="M13" i="6"/>
  <c r="M14" i="6" s="1"/>
  <c r="M18" i="6" s="1"/>
  <c r="L13" i="6"/>
  <c r="L14" i="6" s="1"/>
  <c r="L18" i="6" s="1"/>
  <c r="K13" i="6"/>
  <c r="K14" i="6" s="1"/>
  <c r="K18" i="6" s="1"/>
  <c r="J13" i="6"/>
  <c r="J14" i="6" s="1"/>
  <c r="J18" i="6" s="1"/>
  <c r="I13" i="6"/>
  <c r="I14" i="6" s="1"/>
  <c r="I18" i="6" s="1"/>
  <c r="H13" i="6"/>
  <c r="H14" i="6" s="1"/>
  <c r="H18" i="6" s="1"/>
  <c r="G13" i="6"/>
  <c r="G14" i="6" s="1"/>
  <c r="G18" i="6" s="1"/>
  <c r="F13" i="6"/>
  <c r="F14" i="6" s="1"/>
  <c r="F18" i="6" s="1"/>
  <c r="E13" i="6"/>
  <c r="E14" i="6" s="1"/>
  <c r="E18" i="6" s="1"/>
  <c r="D13" i="6"/>
  <c r="D14" i="6" s="1"/>
  <c r="D18" i="6" s="1"/>
  <c r="C13" i="6"/>
  <c r="C14" i="6" s="1"/>
  <c r="C18" i="6" s="1"/>
  <c r="B13" i="6"/>
  <c r="B14" i="6" s="1"/>
  <c r="B18" i="6" s="1"/>
  <c r="AT18" i="5"/>
  <c r="AT14" i="5"/>
  <c r="AP14" i="5"/>
  <c r="AP18" i="5" s="1"/>
  <c r="AL14" i="5"/>
  <c r="AL18" i="5" s="1"/>
  <c r="AT13" i="5"/>
  <c r="AS13" i="5"/>
  <c r="AS14" i="5" s="1"/>
  <c r="AS18" i="5" s="1"/>
  <c r="AR13" i="5"/>
  <c r="AR14" i="5" s="1"/>
  <c r="AR18" i="5" s="1"/>
  <c r="AQ13" i="5"/>
  <c r="AQ14" i="5" s="1"/>
  <c r="AQ18" i="5" s="1"/>
  <c r="AP13" i="5"/>
  <c r="AO13" i="5"/>
  <c r="AO14" i="5" s="1"/>
  <c r="AO18" i="5" s="1"/>
  <c r="AN13" i="5"/>
  <c r="AN14" i="5" s="1"/>
  <c r="AN18" i="5" s="1"/>
  <c r="AM13" i="5"/>
  <c r="AM14" i="5" s="1"/>
  <c r="AM18" i="5" s="1"/>
  <c r="AL13" i="5"/>
  <c r="AK13" i="5"/>
  <c r="AK14" i="5" s="1"/>
  <c r="AK18" i="5" s="1"/>
  <c r="AJ13" i="5"/>
  <c r="AJ14" i="5" s="1"/>
  <c r="AJ18" i="5" s="1"/>
  <c r="AI13" i="5"/>
  <c r="AI14" i="5" s="1"/>
  <c r="AI18" i="5" s="1"/>
  <c r="AH13" i="5"/>
  <c r="AH14" i="5" s="1"/>
  <c r="AH18" i="5" s="1"/>
  <c r="AG13" i="5"/>
  <c r="AG14" i="5" s="1"/>
  <c r="AG18" i="5" s="1"/>
  <c r="AF13" i="5"/>
  <c r="AF14" i="5" s="1"/>
  <c r="AF18" i="5" s="1"/>
  <c r="AE13" i="5"/>
  <c r="AE14" i="5" s="1"/>
  <c r="AE18" i="5" s="1"/>
  <c r="AD13" i="5"/>
  <c r="AD14" i="5" s="1"/>
  <c r="AD18" i="5" s="1"/>
  <c r="AC13" i="5"/>
  <c r="AC14" i="5" s="1"/>
  <c r="AC18" i="5" s="1"/>
  <c r="AB13" i="5"/>
  <c r="AB14" i="5" s="1"/>
  <c r="AB18" i="5" s="1"/>
  <c r="AA13" i="5"/>
  <c r="AA14" i="5" s="1"/>
  <c r="AA18" i="5" s="1"/>
  <c r="Z13" i="5"/>
  <c r="Z14" i="5" s="1"/>
  <c r="Z18" i="5" s="1"/>
  <c r="Y13" i="5"/>
  <c r="Y14" i="5" s="1"/>
  <c r="Y18" i="5" s="1"/>
  <c r="X13" i="5"/>
  <c r="X14" i="5" s="1"/>
  <c r="X18" i="5" s="1"/>
  <c r="W13" i="5"/>
  <c r="W14" i="5" s="1"/>
  <c r="W18" i="5" s="1"/>
  <c r="V13" i="5"/>
  <c r="V14" i="5" s="1"/>
  <c r="V18" i="5" s="1"/>
  <c r="U13" i="5"/>
  <c r="U14" i="5" s="1"/>
  <c r="U18" i="5" s="1"/>
  <c r="T13" i="5"/>
  <c r="T14" i="5" s="1"/>
  <c r="T18" i="5" s="1"/>
  <c r="S13" i="5"/>
  <c r="S14" i="5" s="1"/>
  <c r="S18" i="5" s="1"/>
  <c r="R13" i="5"/>
  <c r="R14" i="5" s="1"/>
  <c r="R18" i="5" s="1"/>
  <c r="Q13" i="5"/>
  <c r="Q14" i="5" s="1"/>
  <c r="Q18" i="5" s="1"/>
  <c r="P13" i="5"/>
  <c r="P14" i="5" s="1"/>
  <c r="P18" i="5" s="1"/>
  <c r="O13" i="5"/>
  <c r="O14" i="5" s="1"/>
  <c r="O18" i="5" s="1"/>
  <c r="N13" i="5"/>
  <c r="N14" i="5" s="1"/>
  <c r="N18" i="5" s="1"/>
  <c r="M13" i="5"/>
  <c r="M14" i="5" s="1"/>
  <c r="M18" i="5" s="1"/>
  <c r="L13" i="5"/>
  <c r="L14" i="5" s="1"/>
  <c r="L18" i="5" s="1"/>
  <c r="K13" i="5"/>
  <c r="K14" i="5" s="1"/>
  <c r="K18" i="5" s="1"/>
  <c r="J13" i="5"/>
  <c r="J14" i="5" s="1"/>
  <c r="J18" i="5" s="1"/>
  <c r="I13" i="5"/>
  <c r="I14" i="5" s="1"/>
  <c r="I18" i="5" s="1"/>
  <c r="H13" i="5"/>
  <c r="H14" i="5" s="1"/>
  <c r="H18" i="5" s="1"/>
  <c r="G13" i="5"/>
  <c r="G14" i="5" s="1"/>
  <c r="G18" i="5" s="1"/>
  <c r="F13" i="5"/>
  <c r="F14" i="5" s="1"/>
  <c r="F18" i="5" s="1"/>
  <c r="E13" i="5"/>
  <c r="E14" i="5" s="1"/>
  <c r="E18" i="5" s="1"/>
  <c r="D13" i="5"/>
  <c r="D14" i="5" s="1"/>
  <c r="D18" i="5" s="1"/>
  <c r="C13" i="5"/>
  <c r="C14" i="5" s="1"/>
  <c r="C18" i="5" s="1"/>
  <c r="B13" i="5"/>
  <c r="B14" i="5" s="1"/>
  <c r="B18" i="5" s="1"/>
  <c r="B21" i="7" l="1"/>
  <c r="B21" i="6"/>
  <c r="B21" i="5"/>
  <c r="AS14" i="3"/>
  <c r="AS18" i="3" s="1"/>
  <c r="AO14" i="3"/>
  <c r="AO18" i="3" s="1"/>
  <c r="AK14" i="3"/>
  <c r="AK18" i="3" s="1"/>
  <c r="AG14" i="3"/>
  <c r="AG18" i="3" s="1"/>
  <c r="AT13" i="3"/>
  <c r="AT14" i="3" s="1"/>
  <c r="AT18" i="3" s="1"/>
  <c r="AS13" i="3"/>
  <c r="AR13" i="3"/>
  <c r="AR14" i="3" s="1"/>
  <c r="AR18" i="3" s="1"/>
  <c r="AQ13" i="3"/>
  <c r="AQ14" i="3" s="1"/>
  <c r="AQ18" i="3" s="1"/>
  <c r="AP13" i="3"/>
  <c r="AP14" i="3" s="1"/>
  <c r="AP18" i="3" s="1"/>
  <c r="AO13" i="3"/>
  <c r="AN13" i="3"/>
  <c r="AN14" i="3" s="1"/>
  <c r="AN18" i="3" s="1"/>
  <c r="AM13" i="3"/>
  <c r="AM14" i="3" s="1"/>
  <c r="AM18" i="3" s="1"/>
  <c r="AL13" i="3"/>
  <c r="AL14" i="3" s="1"/>
  <c r="AL18" i="3" s="1"/>
  <c r="AK13" i="3"/>
  <c r="AJ13" i="3"/>
  <c r="AJ14" i="3" s="1"/>
  <c r="AJ18" i="3" s="1"/>
  <c r="AI13" i="3"/>
  <c r="AI14" i="3" s="1"/>
  <c r="AI18" i="3" s="1"/>
  <c r="AH13" i="3"/>
  <c r="AH14" i="3" s="1"/>
  <c r="AH18" i="3" s="1"/>
  <c r="AG13" i="3"/>
  <c r="AF13" i="3"/>
  <c r="AF14" i="3" s="1"/>
  <c r="AF18" i="3" s="1"/>
  <c r="AE13" i="3"/>
  <c r="AE14" i="3" s="1"/>
  <c r="AE18" i="3" s="1"/>
  <c r="AD13" i="3"/>
  <c r="AD14" i="3" s="1"/>
  <c r="AD18" i="3" s="1"/>
  <c r="AC13" i="3"/>
  <c r="AC14" i="3" s="1"/>
  <c r="AC18" i="3" s="1"/>
  <c r="AB13" i="3"/>
  <c r="AB14" i="3" s="1"/>
  <c r="AB18" i="3" s="1"/>
  <c r="AA13" i="3"/>
  <c r="AA14" i="3" s="1"/>
  <c r="AA18" i="3" s="1"/>
  <c r="Z13" i="3"/>
  <c r="Z14" i="3" s="1"/>
  <c r="Z18" i="3" s="1"/>
  <c r="Y13" i="3"/>
  <c r="Y14" i="3" s="1"/>
  <c r="Y18" i="3" s="1"/>
  <c r="X13" i="3"/>
  <c r="X14" i="3" s="1"/>
  <c r="X18" i="3" s="1"/>
  <c r="W13" i="3"/>
  <c r="W14" i="3" s="1"/>
  <c r="W18" i="3" s="1"/>
  <c r="V13" i="3"/>
  <c r="V14" i="3" s="1"/>
  <c r="V18" i="3" s="1"/>
  <c r="U13" i="3"/>
  <c r="U14" i="3" s="1"/>
  <c r="U18" i="3" s="1"/>
  <c r="T13" i="3"/>
  <c r="T14" i="3" s="1"/>
  <c r="T18" i="3" s="1"/>
  <c r="S13" i="3"/>
  <c r="S14" i="3" s="1"/>
  <c r="S18" i="3" s="1"/>
  <c r="R13" i="3"/>
  <c r="R14" i="3" s="1"/>
  <c r="R18" i="3" s="1"/>
  <c r="Q13" i="3"/>
  <c r="Q14" i="3" s="1"/>
  <c r="Q18" i="3" s="1"/>
  <c r="P13" i="3"/>
  <c r="P14" i="3" s="1"/>
  <c r="P18" i="3" s="1"/>
  <c r="O13" i="3"/>
  <c r="O14" i="3" s="1"/>
  <c r="O18" i="3" s="1"/>
  <c r="N13" i="3"/>
  <c r="N14" i="3" s="1"/>
  <c r="N18" i="3" s="1"/>
  <c r="M13" i="3"/>
  <c r="M14" i="3" s="1"/>
  <c r="M18" i="3" s="1"/>
  <c r="L13" i="3"/>
  <c r="L14" i="3" s="1"/>
  <c r="L18" i="3" s="1"/>
  <c r="K13" i="3"/>
  <c r="K14" i="3" s="1"/>
  <c r="K18" i="3" s="1"/>
  <c r="J13" i="3"/>
  <c r="J14" i="3" s="1"/>
  <c r="J18" i="3" s="1"/>
  <c r="I13" i="3"/>
  <c r="I14" i="3" s="1"/>
  <c r="I18" i="3" s="1"/>
  <c r="H13" i="3"/>
  <c r="H14" i="3" s="1"/>
  <c r="H18" i="3" s="1"/>
  <c r="G13" i="3"/>
  <c r="G14" i="3" s="1"/>
  <c r="G18" i="3" s="1"/>
  <c r="F13" i="3"/>
  <c r="F14" i="3" s="1"/>
  <c r="F18" i="3" s="1"/>
  <c r="E13" i="3"/>
  <c r="E14" i="3" s="1"/>
  <c r="E18" i="3" s="1"/>
  <c r="D13" i="3"/>
  <c r="D14" i="3" s="1"/>
  <c r="D18" i="3" s="1"/>
  <c r="C13" i="3"/>
  <c r="C14" i="3" s="1"/>
  <c r="C18" i="3" s="1"/>
  <c r="B13" i="3"/>
  <c r="B14" i="3" s="1"/>
  <c r="B18" i="3" s="1"/>
  <c r="H13" i="1"/>
  <c r="H14" i="1" s="1"/>
  <c r="H18" i="1" s="1"/>
  <c r="I13" i="1"/>
  <c r="I14" i="1" s="1"/>
  <c r="I18" i="1" s="1"/>
  <c r="J14" i="1"/>
  <c r="J18" i="1" s="1"/>
  <c r="L13" i="1"/>
  <c r="L14" i="1" s="1"/>
  <c r="L18" i="1" s="1"/>
  <c r="M13" i="1"/>
  <c r="M14" i="1" s="1"/>
  <c r="M18" i="1" s="1"/>
  <c r="N13" i="1"/>
  <c r="N14" i="1" s="1"/>
  <c r="N18" i="1" s="1"/>
  <c r="O13" i="1"/>
  <c r="O14" i="1" s="1"/>
  <c r="O18" i="1" s="1"/>
  <c r="P13" i="1"/>
  <c r="P14" i="1" s="1"/>
  <c r="P18" i="1" s="1"/>
  <c r="Q13" i="1"/>
  <c r="Q14" i="1" s="1"/>
  <c r="Q18" i="1" s="1"/>
  <c r="R13" i="1"/>
  <c r="R14" i="1" s="1"/>
  <c r="R18" i="1" s="1"/>
  <c r="S13" i="1"/>
  <c r="S14" i="1" s="1"/>
  <c r="S18" i="1" s="1"/>
  <c r="T13" i="1"/>
  <c r="T14" i="1" s="1"/>
  <c r="T18" i="1" s="1"/>
  <c r="U13" i="1"/>
  <c r="U14" i="1" s="1"/>
  <c r="U18" i="1" s="1"/>
  <c r="V13" i="1"/>
  <c r="V14" i="1" s="1"/>
  <c r="V18" i="1" s="1"/>
  <c r="W13" i="1"/>
  <c r="W14" i="1" s="1"/>
  <c r="W18" i="1" s="1"/>
  <c r="X13" i="1"/>
  <c r="X14" i="1" s="1"/>
  <c r="X18" i="1" s="1"/>
  <c r="Y13" i="1"/>
  <c r="Y14" i="1" s="1"/>
  <c r="Y18" i="1" s="1"/>
  <c r="Z13" i="1"/>
  <c r="Z14" i="1" s="1"/>
  <c r="Z18" i="1" s="1"/>
  <c r="AA13" i="1"/>
  <c r="AA14" i="1" s="1"/>
  <c r="AA18" i="1" s="1"/>
  <c r="AB13" i="1"/>
  <c r="AB14" i="1" s="1"/>
  <c r="AB18" i="1" s="1"/>
  <c r="AC13" i="1"/>
  <c r="AC14" i="1" s="1"/>
  <c r="AC18" i="1" s="1"/>
  <c r="AD13" i="1"/>
  <c r="AD14" i="1" s="1"/>
  <c r="AD18" i="1" s="1"/>
  <c r="AE13" i="1"/>
  <c r="AE14" i="1" s="1"/>
  <c r="AE18" i="1" s="1"/>
  <c r="AF13" i="1"/>
  <c r="AF14" i="1" s="1"/>
  <c r="AF18" i="1" s="1"/>
  <c r="AG13" i="1"/>
  <c r="AG14" i="1" s="1"/>
  <c r="AG18" i="1" s="1"/>
  <c r="AH13" i="1"/>
  <c r="AH14" i="1" s="1"/>
  <c r="AH18" i="1" s="1"/>
  <c r="AI13" i="1"/>
  <c r="AI14" i="1" s="1"/>
  <c r="AI18" i="1" s="1"/>
  <c r="AJ13" i="1"/>
  <c r="AJ14" i="1" s="1"/>
  <c r="AJ18" i="1" s="1"/>
  <c r="AK13" i="1"/>
  <c r="AK14" i="1" s="1"/>
  <c r="AK18" i="1" s="1"/>
  <c r="AL13" i="1"/>
  <c r="AL14" i="1" s="1"/>
  <c r="AL18" i="1" s="1"/>
  <c r="AM13" i="1"/>
  <c r="AM14" i="1" s="1"/>
  <c r="AM18" i="1" s="1"/>
  <c r="AN13" i="1"/>
  <c r="AN14" i="1" s="1"/>
  <c r="AN18" i="1" s="1"/>
  <c r="AO13" i="1"/>
  <c r="AO14" i="1" s="1"/>
  <c r="AO18" i="1" s="1"/>
  <c r="AP13" i="1"/>
  <c r="AP14" i="1" s="1"/>
  <c r="AP18" i="1" s="1"/>
  <c r="AQ13" i="1"/>
  <c r="AQ14" i="1" s="1"/>
  <c r="AQ18" i="1" s="1"/>
  <c r="AR13" i="1"/>
  <c r="AR14" i="1" s="1"/>
  <c r="AR18" i="1" s="1"/>
  <c r="AS13" i="1"/>
  <c r="AS14" i="1" s="1"/>
  <c r="AS18" i="1" s="1"/>
  <c r="AT13" i="1"/>
  <c r="AT14" i="1" s="1"/>
  <c r="AT18" i="1" s="1"/>
  <c r="AU13" i="1"/>
  <c r="AU14" i="1" s="1"/>
  <c r="AU18" i="1" s="1"/>
  <c r="C13" i="1"/>
  <c r="C14" i="1" s="1"/>
  <c r="C18" i="1" s="1"/>
  <c r="D13" i="1"/>
  <c r="D14" i="1" s="1"/>
  <c r="D18" i="1" s="1"/>
  <c r="E13" i="1"/>
  <c r="E14" i="1" s="1"/>
  <c r="E18" i="1" s="1"/>
  <c r="F13" i="1"/>
  <c r="F14" i="1" s="1"/>
  <c r="F18" i="1" s="1"/>
  <c r="G13" i="1"/>
  <c r="G14" i="1" s="1"/>
  <c r="G18" i="1" s="1"/>
  <c r="B13" i="1"/>
  <c r="B14" i="1" s="1"/>
  <c r="B18" i="1" s="1"/>
  <c r="B21" i="1" l="1"/>
  <c r="B21" i="3"/>
</calcChain>
</file>

<file path=xl/sharedStrings.xml><?xml version="1.0" encoding="utf-8"?>
<sst xmlns="http://schemas.openxmlformats.org/spreadsheetml/2006/main" count="79" uniqueCount="23">
  <si>
    <t>S1</t>
  </si>
  <si>
    <t>Flussabschnitt (cm):</t>
  </si>
  <si>
    <t>ges. Breite (m):</t>
  </si>
  <si>
    <t>(Umdrehungen in 30s)</t>
  </si>
  <si>
    <t>(v= 0.2520*n + 0.006)</t>
  </si>
  <si>
    <t>(=v*A)</t>
  </si>
  <si>
    <t>Abstand (m):</t>
  </si>
  <si>
    <t>Start (m):</t>
  </si>
  <si>
    <t>Flusstiefe (cm):</t>
  </si>
  <si>
    <t>Messtiefe (cm):</t>
  </si>
  <si>
    <t>gemessener Wert :</t>
  </si>
  <si>
    <t>Drehzahl n (Umdrehungen pro Sek):</t>
  </si>
  <si>
    <t>Geschwindigkeit (m/s):</t>
  </si>
  <si>
    <t>Abfluss im 0.5m Abstand (m^3/s):</t>
  </si>
  <si>
    <t>ges. Abfluss (m^3/s):</t>
  </si>
  <si>
    <t>S2</t>
  </si>
  <si>
    <t>S3</t>
  </si>
  <si>
    <t>S4</t>
  </si>
  <si>
    <t>S5</t>
  </si>
  <si>
    <t>14,5</t>
  </si>
  <si>
    <t>16,5</t>
  </si>
  <si>
    <t>18,10</t>
  </si>
  <si>
    <t>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</si>
</sst>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0" fontId="0" fillId="2" borderId="1" xfId="0" applyFill="1" applyBorder="1" applyAlignment="1">
      <alignment horizontal="right"/>
    </xf>
    <xf numFmtId="0" fontId="0" fillId="4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15241</xdr:colOff>
      <xdr:row>0</xdr:row>
      <xdr:rowOff>175260</xdr:rowOff>
    </xdr:from>
    <xdr:to>
      <xdr:col>11</xdr:col>
      <xdr:colOff>686881</xdr:colOff>
      <xdr:row>15</xdr:row>
      <xdr:rowOff>91440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86CF147-8B2C-4A84-A22E-C58641966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004" t="42583" r="27391" b="2210"/>
        <a:stretch/>
      </xdr:blipFill>
      <xdr:spPr>
        <a:xfrm>
          <a:off x="6355081" y="175260"/>
          <a:ext cx="3049080" cy="26593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</xdr:row>
      <xdr:rowOff>15240</xdr:rowOff>
    </xdr:from>
    <xdr:to>
      <xdr:col>7</xdr:col>
      <xdr:colOff>251459</xdr:colOff>
      <xdr:row>18</xdr:row>
      <xdr:rowOff>121920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D44E4FD-7169-405A-91B8-B7A9E15D4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53" t="25959" r="40343" b="36525"/>
        <a:stretch/>
      </xdr:blipFill>
      <xdr:spPr>
        <a:xfrm>
          <a:off x="815340" y="198120"/>
          <a:ext cx="4983479" cy="3215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C763-8B32-44E2-9A55-15DE8AE55CC1}">
  <dimension ref="A1:AU21"/>
  <sheetViews>
    <sheetView topLeftCell="S1" zoomScale="70" zoomScaleNormal="70" workbookViewId="0">
      <selection activeCell="AD10" sqref="AD10"/>
    </sheetView>
  </sheetViews>
  <sheetFormatPr baseColWidth="10" defaultRowHeight="15" x14ac:dyDescent="0.25"/>
  <cols>
    <col min="1" max="1" width="31.7109375" bestFit="1" customWidth="1"/>
    <col min="2" max="2" width="15.7109375" customWidth="1"/>
  </cols>
  <sheetData>
    <row r="1" spans="1:47" ht="15.75" x14ac:dyDescent="0.25">
      <c r="A1" s="6" t="s">
        <v>0</v>
      </c>
      <c r="B1" s="7">
        <v>43804</v>
      </c>
    </row>
    <row r="3" spans="1:47" x14ac:dyDescent="0.25">
      <c r="A3" s="1" t="s">
        <v>2</v>
      </c>
      <c r="B3" s="8" t="s">
        <v>19</v>
      </c>
    </row>
    <row r="4" spans="1:47" x14ac:dyDescent="0.25">
      <c r="A4" s="1" t="s">
        <v>7</v>
      </c>
      <c r="B4" s="2">
        <v>1.5</v>
      </c>
    </row>
    <row r="6" spans="1:47" x14ac:dyDescent="0.25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  <c r="AU6" s="5">
        <v>2300</v>
      </c>
    </row>
    <row r="8" spans="1:47" x14ac:dyDescent="0.25">
      <c r="A8" s="1" t="s">
        <v>8</v>
      </c>
      <c r="B8" s="2"/>
      <c r="C8" s="2">
        <v>49</v>
      </c>
      <c r="D8" s="2">
        <v>39</v>
      </c>
      <c r="E8" s="2">
        <v>39</v>
      </c>
      <c r="F8" s="2">
        <v>49</v>
      </c>
      <c r="G8" s="2">
        <v>47</v>
      </c>
      <c r="H8" s="2">
        <v>41</v>
      </c>
      <c r="I8" s="2">
        <v>44</v>
      </c>
      <c r="J8" s="2">
        <v>44</v>
      </c>
      <c r="K8" s="2">
        <v>44</v>
      </c>
      <c r="L8" s="2">
        <v>49</v>
      </c>
      <c r="M8" s="2">
        <v>43</v>
      </c>
      <c r="N8" s="2">
        <v>40</v>
      </c>
      <c r="O8" s="2">
        <v>40</v>
      </c>
      <c r="P8" s="2">
        <v>40</v>
      </c>
      <c r="Q8" s="2">
        <v>38</v>
      </c>
      <c r="R8" s="2">
        <v>38</v>
      </c>
      <c r="S8" s="2">
        <v>42</v>
      </c>
      <c r="T8" s="2">
        <v>40</v>
      </c>
      <c r="U8" s="2">
        <v>39</v>
      </c>
      <c r="V8" s="2">
        <v>44</v>
      </c>
      <c r="W8" s="2">
        <v>45</v>
      </c>
      <c r="X8" s="2">
        <v>42</v>
      </c>
      <c r="Y8" s="2">
        <v>37</v>
      </c>
      <c r="Z8" s="2">
        <v>37</v>
      </c>
      <c r="AA8" s="2">
        <v>39</v>
      </c>
      <c r="AB8" s="2">
        <v>30</v>
      </c>
      <c r="AC8" s="2">
        <v>30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x14ac:dyDescent="0.25">
      <c r="A9" s="1" t="s">
        <v>9</v>
      </c>
      <c r="B9" s="2"/>
      <c r="C9" s="2">
        <v>20</v>
      </c>
      <c r="D9" s="2">
        <v>16</v>
      </c>
      <c r="E9" s="2">
        <v>16</v>
      </c>
      <c r="F9" s="2">
        <v>20</v>
      </c>
      <c r="G9" s="2">
        <v>19</v>
      </c>
      <c r="H9" s="2">
        <v>16</v>
      </c>
      <c r="I9" s="2">
        <v>18</v>
      </c>
      <c r="J9" s="2">
        <v>18</v>
      </c>
      <c r="K9" s="2">
        <v>18</v>
      </c>
      <c r="L9" s="2">
        <v>20</v>
      </c>
      <c r="M9" s="2">
        <v>17</v>
      </c>
      <c r="N9" s="2">
        <v>16</v>
      </c>
      <c r="O9" s="2">
        <v>16</v>
      </c>
      <c r="P9" s="2">
        <v>16</v>
      </c>
      <c r="Q9" s="2">
        <v>15</v>
      </c>
      <c r="R9" s="2">
        <v>15</v>
      </c>
      <c r="S9" s="2">
        <v>17</v>
      </c>
      <c r="T9" s="2">
        <v>16</v>
      </c>
      <c r="U9" s="2">
        <v>16</v>
      </c>
      <c r="V9" s="2">
        <v>18</v>
      </c>
      <c r="W9" s="2">
        <v>18</v>
      </c>
      <c r="X9" s="2">
        <v>17</v>
      </c>
      <c r="Y9" s="2">
        <v>15</v>
      </c>
      <c r="Z9" s="2">
        <v>15</v>
      </c>
      <c r="AA9" s="2">
        <v>16</v>
      </c>
      <c r="AB9" s="2">
        <v>12</v>
      </c>
      <c r="AC9" s="2">
        <v>12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x14ac:dyDescent="0.25">
      <c r="A10" s="1" t="s">
        <v>10</v>
      </c>
      <c r="B10" s="2"/>
      <c r="C10" s="2">
        <v>70</v>
      </c>
      <c r="D10" s="2">
        <v>107</v>
      </c>
      <c r="E10" s="2">
        <v>70</v>
      </c>
      <c r="F10" s="2">
        <v>90</v>
      </c>
      <c r="G10" s="2">
        <v>79</v>
      </c>
      <c r="H10" s="2">
        <v>79</v>
      </c>
      <c r="I10" s="2">
        <v>73</v>
      </c>
      <c r="J10" s="2">
        <v>77</v>
      </c>
      <c r="K10" s="2">
        <v>81</v>
      </c>
      <c r="L10" s="2">
        <v>76</v>
      </c>
      <c r="M10" s="2">
        <v>76</v>
      </c>
      <c r="N10" s="2">
        <v>70</v>
      </c>
      <c r="O10" s="2">
        <v>86</v>
      </c>
      <c r="P10" s="2">
        <v>83</v>
      </c>
      <c r="Q10" s="2">
        <v>86</v>
      </c>
      <c r="R10" s="2">
        <v>67</v>
      </c>
      <c r="S10" s="2">
        <v>60</v>
      </c>
      <c r="T10" s="2">
        <v>63</v>
      </c>
      <c r="U10" s="2">
        <v>55</v>
      </c>
      <c r="V10" s="2">
        <v>54</v>
      </c>
      <c r="W10" s="2">
        <v>44</v>
      </c>
      <c r="X10" s="2">
        <v>43</v>
      </c>
      <c r="Y10" s="2">
        <v>42</v>
      </c>
      <c r="Z10" s="2">
        <v>45</v>
      </c>
      <c r="AA10" s="2">
        <v>46</v>
      </c>
      <c r="AB10" s="2">
        <v>46</v>
      </c>
      <c r="AC10" s="2">
        <v>37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x14ac:dyDescent="0.25">
      <c r="A11" s="1" t="s">
        <v>3</v>
      </c>
    </row>
    <row r="12" spans="1:47" x14ac:dyDescent="0.25">
      <c r="A12" s="1"/>
    </row>
    <row r="13" spans="1:47" x14ac:dyDescent="0.25">
      <c r="A13" s="1" t="s">
        <v>11</v>
      </c>
      <c r="B13" s="3">
        <f t="shared" ref="B13:AD13" si="0">B10/30</f>
        <v>0</v>
      </c>
      <c r="C13" s="3">
        <f t="shared" si="0"/>
        <v>2.3333333333333335</v>
      </c>
      <c r="D13" s="3">
        <f t="shared" si="0"/>
        <v>3.5666666666666669</v>
      </c>
      <c r="E13" s="3">
        <f t="shared" si="0"/>
        <v>2.3333333333333335</v>
      </c>
      <c r="F13" s="3">
        <f t="shared" si="0"/>
        <v>3</v>
      </c>
      <c r="G13" s="3">
        <f t="shared" si="0"/>
        <v>2.6333333333333333</v>
      </c>
      <c r="H13" s="3">
        <f t="shared" si="0"/>
        <v>2.6333333333333333</v>
      </c>
      <c r="I13" s="3">
        <f t="shared" si="0"/>
        <v>2.4333333333333331</v>
      </c>
      <c r="J13" s="3">
        <f>J10/30</f>
        <v>2.5666666666666669</v>
      </c>
      <c r="K13" s="3">
        <f>K10/30</f>
        <v>2.7</v>
      </c>
      <c r="L13" s="3">
        <f t="shared" si="0"/>
        <v>2.5333333333333332</v>
      </c>
      <c r="M13" s="3">
        <f t="shared" si="0"/>
        <v>2.5333333333333332</v>
      </c>
      <c r="N13" s="3">
        <f t="shared" si="0"/>
        <v>2.3333333333333335</v>
      </c>
      <c r="O13" s="3">
        <f t="shared" si="0"/>
        <v>2.8666666666666667</v>
      </c>
      <c r="P13" s="3">
        <f t="shared" si="0"/>
        <v>2.7666666666666666</v>
      </c>
      <c r="Q13" s="3">
        <f t="shared" si="0"/>
        <v>2.8666666666666667</v>
      </c>
      <c r="R13" s="3">
        <f t="shared" si="0"/>
        <v>2.2333333333333334</v>
      </c>
      <c r="S13" s="3">
        <f t="shared" si="0"/>
        <v>2</v>
      </c>
      <c r="T13" s="3">
        <f t="shared" si="0"/>
        <v>2.1</v>
      </c>
      <c r="U13" s="3">
        <f t="shared" si="0"/>
        <v>1.8333333333333333</v>
      </c>
      <c r="V13" s="3">
        <f t="shared" si="0"/>
        <v>1.8</v>
      </c>
      <c r="W13" s="3">
        <f t="shared" si="0"/>
        <v>1.4666666666666666</v>
      </c>
      <c r="X13" s="3">
        <f t="shared" si="0"/>
        <v>1.4333333333333333</v>
      </c>
      <c r="Y13" s="3">
        <f t="shared" si="0"/>
        <v>1.4</v>
      </c>
      <c r="Z13" s="3">
        <f t="shared" si="0"/>
        <v>1.5</v>
      </c>
      <c r="AA13" s="3">
        <f t="shared" si="0"/>
        <v>1.5333333333333334</v>
      </c>
      <c r="AB13" s="3">
        <f t="shared" si="0"/>
        <v>1.5333333333333334</v>
      </c>
      <c r="AC13" s="3">
        <f t="shared" si="0"/>
        <v>1.2333333333333334</v>
      </c>
      <c r="AD13" s="3">
        <f t="shared" si="0"/>
        <v>0</v>
      </c>
      <c r="AE13" s="3">
        <f t="shared" ref="AE13:AU13" si="1">AE10/30</f>
        <v>0</v>
      </c>
      <c r="AF13" s="3">
        <f t="shared" si="1"/>
        <v>0</v>
      </c>
      <c r="AG13" s="3">
        <f t="shared" si="1"/>
        <v>0</v>
      </c>
      <c r="AH13" s="3">
        <f t="shared" si="1"/>
        <v>0</v>
      </c>
      <c r="AI13" s="3">
        <f t="shared" si="1"/>
        <v>0</v>
      </c>
      <c r="AJ13" s="3">
        <f t="shared" si="1"/>
        <v>0</v>
      </c>
      <c r="AK13" s="3">
        <f t="shared" si="1"/>
        <v>0</v>
      </c>
      <c r="AL13" s="3">
        <f t="shared" si="1"/>
        <v>0</v>
      </c>
      <c r="AM13" s="3">
        <f t="shared" si="1"/>
        <v>0</v>
      </c>
      <c r="AN13" s="3">
        <f t="shared" si="1"/>
        <v>0</v>
      </c>
      <c r="AO13" s="3">
        <f t="shared" si="1"/>
        <v>0</v>
      </c>
      <c r="AP13" s="3">
        <f t="shared" si="1"/>
        <v>0</v>
      </c>
      <c r="AQ13" s="3">
        <f t="shared" si="1"/>
        <v>0</v>
      </c>
      <c r="AR13" s="3">
        <f t="shared" si="1"/>
        <v>0</v>
      </c>
      <c r="AS13" s="3">
        <f t="shared" si="1"/>
        <v>0</v>
      </c>
      <c r="AT13" s="3">
        <f t="shared" si="1"/>
        <v>0</v>
      </c>
      <c r="AU13" s="3">
        <f t="shared" si="1"/>
        <v>0</v>
      </c>
    </row>
    <row r="14" spans="1:47" x14ac:dyDescent="0.25">
      <c r="A14" s="1" t="s">
        <v>12</v>
      </c>
      <c r="B14" s="3">
        <f xml:space="preserve"> 0.252*B13 + 0.006</f>
        <v>6.0000000000000001E-3</v>
      </c>
      <c r="C14" s="3">
        <f t="shared" ref="C14:G14" si="2" xml:space="preserve"> 0.252*C13 + 0.006</f>
        <v>0.59400000000000008</v>
      </c>
      <c r="D14" s="3">
        <f t="shared" si="2"/>
        <v>0.90480000000000005</v>
      </c>
      <c r="E14" s="3">
        <f t="shared" si="2"/>
        <v>0.59400000000000008</v>
      </c>
      <c r="F14" s="3">
        <f t="shared" si="2"/>
        <v>0.76200000000000001</v>
      </c>
      <c r="G14" s="3">
        <f t="shared" si="2"/>
        <v>0.66959999999999997</v>
      </c>
      <c r="H14" s="3">
        <f t="shared" ref="H14" si="3" xml:space="preserve"> 0.252*H13 + 0.006</f>
        <v>0.66959999999999997</v>
      </c>
      <c r="I14" s="3">
        <f t="shared" ref="I14" si="4" xml:space="preserve"> 0.252*I13 + 0.006</f>
        <v>0.61919999999999997</v>
      </c>
      <c r="J14" s="3">
        <f t="shared" ref="J14:K14" si="5" xml:space="preserve"> 0.252*J13 + 0.006</f>
        <v>0.65280000000000005</v>
      </c>
      <c r="K14" s="3">
        <f t="shared" si="5"/>
        <v>0.68640000000000001</v>
      </c>
      <c r="L14" s="3">
        <f t="shared" ref="L14" si="6" xml:space="preserve"> 0.252*L13 + 0.006</f>
        <v>0.64439999999999997</v>
      </c>
      <c r="M14" s="3">
        <f t="shared" ref="M14" si="7" xml:space="preserve"> 0.252*M13 + 0.006</f>
        <v>0.64439999999999997</v>
      </c>
      <c r="N14" s="3">
        <f t="shared" ref="N14" si="8" xml:space="preserve"> 0.252*N13 + 0.006</f>
        <v>0.59400000000000008</v>
      </c>
      <c r="O14" s="3">
        <f t="shared" ref="O14" si="9" xml:space="preserve"> 0.252*O13 + 0.006</f>
        <v>0.72840000000000005</v>
      </c>
      <c r="P14" s="3">
        <f t="shared" ref="P14" si="10" xml:space="preserve"> 0.252*P13 + 0.006</f>
        <v>0.70320000000000005</v>
      </c>
      <c r="Q14" s="3">
        <f t="shared" ref="Q14" si="11" xml:space="preserve"> 0.252*Q13 + 0.006</f>
        <v>0.72840000000000005</v>
      </c>
      <c r="R14" s="3">
        <f t="shared" ref="R14" si="12" xml:space="preserve"> 0.252*R13 + 0.006</f>
        <v>0.56879999999999997</v>
      </c>
      <c r="S14" s="3">
        <f t="shared" ref="S14" si="13" xml:space="preserve"> 0.252*S13 + 0.006</f>
        <v>0.51</v>
      </c>
      <c r="T14" s="3">
        <f t="shared" ref="T14" si="14" xml:space="preserve"> 0.252*T13 + 0.006</f>
        <v>0.53520000000000001</v>
      </c>
      <c r="U14" s="3">
        <f t="shared" ref="U14" si="15" xml:space="preserve"> 0.252*U13 + 0.006</f>
        <v>0.46799999999999997</v>
      </c>
      <c r="V14" s="3">
        <f t="shared" ref="V14" si="16" xml:space="preserve"> 0.252*V13 + 0.006</f>
        <v>0.45960000000000001</v>
      </c>
      <c r="W14" s="3">
        <f t="shared" ref="W14" si="17" xml:space="preserve"> 0.252*W13 + 0.006</f>
        <v>0.37559999999999999</v>
      </c>
      <c r="X14" s="3">
        <f t="shared" ref="X14" si="18" xml:space="preserve"> 0.252*X13 + 0.006</f>
        <v>0.36720000000000003</v>
      </c>
      <c r="Y14" s="3">
        <f t="shared" ref="Y14" si="19" xml:space="preserve"> 0.252*Y13 + 0.006</f>
        <v>0.35880000000000001</v>
      </c>
      <c r="Z14" s="3">
        <f t="shared" ref="Z14" si="20" xml:space="preserve"> 0.252*Z13 + 0.006</f>
        <v>0.38400000000000001</v>
      </c>
      <c r="AA14" s="3">
        <f t="shared" ref="AA14" si="21" xml:space="preserve"> 0.252*AA13 + 0.006</f>
        <v>0.39240000000000003</v>
      </c>
      <c r="AB14" s="3">
        <f t="shared" ref="AB14" si="22" xml:space="preserve"> 0.252*AB13 + 0.006</f>
        <v>0.39240000000000003</v>
      </c>
      <c r="AC14" s="3">
        <f t="shared" ref="AC14" si="23" xml:space="preserve"> 0.252*AC13 + 0.006</f>
        <v>0.31680000000000003</v>
      </c>
      <c r="AD14" s="3">
        <f t="shared" ref="AD14" si="24" xml:space="preserve"> 0.252*AD13 + 0.006</f>
        <v>6.0000000000000001E-3</v>
      </c>
      <c r="AE14" s="3">
        <f t="shared" ref="AE14" si="25" xml:space="preserve"> 0.252*AE13 + 0.006</f>
        <v>6.0000000000000001E-3</v>
      </c>
      <c r="AF14" s="3">
        <f t="shared" ref="AF14" si="26" xml:space="preserve"> 0.252*AF13 + 0.006</f>
        <v>6.0000000000000001E-3</v>
      </c>
      <c r="AG14" s="3">
        <f t="shared" ref="AG14" si="27" xml:space="preserve"> 0.252*AG13 + 0.006</f>
        <v>6.0000000000000001E-3</v>
      </c>
      <c r="AH14" s="3">
        <f t="shared" ref="AH14" si="28" xml:space="preserve"> 0.252*AH13 + 0.006</f>
        <v>6.0000000000000001E-3</v>
      </c>
      <c r="AI14" s="3">
        <f t="shared" ref="AI14" si="29" xml:space="preserve"> 0.252*AI13 + 0.006</f>
        <v>6.0000000000000001E-3</v>
      </c>
      <c r="AJ14" s="3">
        <f t="shared" ref="AJ14" si="30" xml:space="preserve"> 0.252*AJ13 + 0.006</f>
        <v>6.0000000000000001E-3</v>
      </c>
      <c r="AK14" s="3">
        <f t="shared" ref="AK14" si="31" xml:space="preserve"> 0.252*AK13 + 0.006</f>
        <v>6.0000000000000001E-3</v>
      </c>
      <c r="AL14" s="3">
        <f t="shared" ref="AL14" si="32" xml:space="preserve"> 0.252*AL13 + 0.006</f>
        <v>6.0000000000000001E-3</v>
      </c>
      <c r="AM14" s="3">
        <f t="shared" ref="AM14" si="33" xml:space="preserve"> 0.252*AM13 + 0.006</f>
        <v>6.0000000000000001E-3</v>
      </c>
      <c r="AN14" s="3">
        <f t="shared" ref="AN14" si="34" xml:space="preserve"> 0.252*AN13 + 0.006</f>
        <v>6.0000000000000001E-3</v>
      </c>
      <c r="AO14" s="3">
        <f t="shared" ref="AO14" si="35" xml:space="preserve"> 0.252*AO13 + 0.006</f>
        <v>6.0000000000000001E-3</v>
      </c>
      <c r="AP14" s="3">
        <f t="shared" ref="AP14" si="36" xml:space="preserve"> 0.252*AP13 + 0.006</f>
        <v>6.0000000000000001E-3</v>
      </c>
      <c r="AQ14" s="3">
        <f t="shared" ref="AQ14" si="37" xml:space="preserve"> 0.252*AQ13 + 0.006</f>
        <v>6.0000000000000001E-3</v>
      </c>
      <c r="AR14" s="3">
        <f t="shared" ref="AR14" si="38" xml:space="preserve"> 0.252*AR13 + 0.006</f>
        <v>6.0000000000000001E-3</v>
      </c>
      <c r="AS14" s="3">
        <f t="shared" ref="AS14" si="39" xml:space="preserve"> 0.252*AS13 + 0.006</f>
        <v>6.0000000000000001E-3</v>
      </c>
      <c r="AT14" s="3">
        <f t="shared" ref="AT14" si="40" xml:space="preserve"> 0.252*AT13 + 0.006</f>
        <v>6.0000000000000001E-3</v>
      </c>
      <c r="AU14" s="3">
        <f t="shared" ref="AU14" si="41" xml:space="preserve"> 0.252*AU13 + 0.006</f>
        <v>6.0000000000000001E-3</v>
      </c>
    </row>
    <row r="15" spans="1:47" x14ac:dyDescent="0.25">
      <c r="A15" s="1" t="s">
        <v>4</v>
      </c>
    </row>
    <row r="17" spans="1:47" x14ac:dyDescent="0.25">
      <c r="B17" s="1" t="s">
        <v>6</v>
      </c>
      <c r="C17" s="1">
        <v>0.5</v>
      </c>
    </row>
    <row r="18" spans="1:47" x14ac:dyDescent="0.25">
      <c r="A18" s="1" t="s">
        <v>13</v>
      </c>
      <c r="B18" s="3">
        <f t="shared" ref="B18:AD18" si="42">B14*$C$17*(B8/100)</f>
        <v>0</v>
      </c>
      <c r="C18" s="3">
        <f t="shared" si="42"/>
        <v>0.14553000000000002</v>
      </c>
      <c r="D18" s="3">
        <f t="shared" si="42"/>
        <v>0.17643600000000001</v>
      </c>
      <c r="E18" s="3">
        <f t="shared" si="42"/>
        <v>0.11583000000000002</v>
      </c>
      <c r="F18" s="3">
        <f t="shared" si="42"/>
        <v>0.18668999999999999</v>
      </c>
      <c r="G18" s="3">
        <f t="shared" si="42"/>
        <v>0.157356</v>
      </c>
      <c r="H18" s="3">
        <f t="shared" si="42"/>
        <v>0.13726799999999997</v>
      </c>
      <c r="I18" s="3">
        <f t="shared" si="42"/>
        <v>0.13622399999999998</v>
      </c>
      <c r="J18" s="3">
        <f t="shared" si="42"/>
        <v>0.14361600000000002</v>
      </c>
      <c r="K18" s="3">
        <f t="shared" si="42"/>
        <v>0.151008</v>
      </c>
      <c r="L18" s="3">
        <f t="shared" si="42"/>
        <v>0.15787799999999999</v>
      </c>
      <c r="M18" s="3">
        <f t="shared" si="42"/>
        <v>0.138546</v>
      </c>
      <c r="N18" s="3">
        <f t="shared" si="42"/>
        <v>0.11880000000000002</v>
      </c>
      <c r="O18" s="3">
        <f t="shared" si="42"/>
        <v>0.14568</v>
      </c>
      <c r="P18" s="3">
        <f t="shared" si="42"/>
        <v>0.14064000000000002</v>
      </c>
      <c r="Q18" s="3">
        <f t="shared" si="42"/>
        <v>0.13839600000000002</v>
      </c>
      <c r="R18" s="3">
        <f t="shared" si="42"/>
        <v>0.108072</v>
      </c>
      <c r="S18" s="3">
        <f t="shared" si="42"/>
        <v>0.1071</v>
      </c>
      <c r="T18" s="3">
        <f t="shared" si="42"/>
        <v>0.10704000000000001</v>
      </c>
      <c r="U18" s="3">
        <f t="shared" si="42"/>
        <v>9.1259999999999994E-2</v>
      </c>
      <c r="V18" s="3">
        <f t="shared" si="42"/>
        <v>0.10111200000000001</v>
      </c>
      <c r="W18" s="3">
        <f t="shared" si="42"/>
        <v>8.4510000000000002E-2</v>
      </c>
      <c r="X18" s="3">
        <f t="shared" si="42"/>
        <v>7.7112E-2</v>
      </c>
      <c r="Y18" s="3">
        <f t="shared" si="42"/>
        <v>6.6378000000000006E-2</v>
      </c>
      <c r="Z18" s="3">
        <f t="shared" si="42"/>
        <v>7.1040000000000006E-2</v>
      </c>
      <c r="AA18" s="3">
        <f t="shared" si="42"/>
        <v>7.6518000000000003E-2</v>
      </c>
      <c r="AB18" s="3">
        <f t="shared" si="42"/>
        <v>5.8860000000000003E-2</v>
      </c>
      <c r="AC18" s="3">
        <f t="shared" si="42"/>
        <v>4.752E-2</v>
      </c>
      <c r="AD18" s="3">
        <f t="shared" si="42"/>
        <v>0</v>
      </c>
      <c r="AE18" s="3">
        <f t="shared" ref="AE18:AU18" si="43">AE14*$C$17*(AE8/100)</f>
        <v>0</v>
      </c>
      <c r="AF18" s="3">
        <f t="shared" si="43"/>
        <v>0</v>
      </c>
      <c r="AG18" s="3">
        <f t="shared" si="43"/>
        <v>0</v>
      </c>
      <c r="AH18" s="3">
        <f t="shared" si="43"/>
        <v>0</v>
      </c>
      <c r="AI18" s="3">
        <f t="shared" si="43"/>
        <v>0</v>
      </c>
      <c r="AJ18" s="3">
        <f t="shared" si="43"/>
        <v>0</v>
      </c>
      <c r="AK18" s="3">
        <f t="shared" si="43"/>
        <v>0</v>
      </c>
      <c r="AL18" s="3">
        <f t="shared" si="43"/>
        <v>0</v>
      </c>
      <c r="AM18" s="3">
        <f t="shared" si="43"/>
        <v>0</v>
      </c>
      <c r="AN18" s="3">
        <f t="shared" si="43"/>
        <v>0</v>
      </c>
      <c r="AO18" s="3">
        <f t="shared" si="43"/>
        <v>0</v>
      </c>
      <c r="AP18" s="3">
        <f t="shared" si="43"/>
        <v>0</v>
      </c>
      <c r="AQ18" s="3">
        <f t="shared" si="43"/>
        <v>0</v>
      </c>
      <c r="AR18" s="3">
        <f t="shared" si="43"/>
        <v>0</v>
      </c>
      <c r="AS18" s="3">
        <f t="shared" si="43"/>
        <v>0</v>
      </c>
      <c r="AT18" s="3">
        <f t="shared" si="43"/>
        <v>0</v>
      </c>
      <c r="AU18" s="3">
        <f t="shared" si="43"/>
        <v>0</v>
      </c>
    </row>
    <row r="19" spans="1:47" x14ac:dyDescent="0.25">
      <c r="A19" s="1" t="s">
        <v>5</v>
      </c>
    </row>
    <row r="21" spans="1:47" x14ac:dyDescent="0.25">
      <c r="A21" s="1" t="s">
        <v>14</v>
      </c>
      <c r="B21" s="4">
        <f>SUM(B18:AU18)</f>
        <v>3.1864200000000005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79E7-264A-4D1B-8DAE-969C74CEB543}">
  <dimension ref="A1:AT21"/>
  <sheetViews>
    <sheetView workbookViewId="0">
      <selection activeCell="C24" sqref="C24"/>
    </sheetView>
  </sheetViews>
  <sheetFormatPr baseColWidth="10" defaultRowHeight="15" x14ac:dyDescent="0.25"/>
  <cols>
    <col min="1" max="1" width="31.7109375" bestFit="1" customWidth="1"/>
  </cols>
  <sheetData>
    <row r="1" spans="1:46" ht="15.75" x14ac:dyDescent="0.25">
      <c r="A1" s="6" t="s">
        <v>15</v>
      </c>
      <c r="B1" s="7">
        <v>43804</v>
      </c>
    </row>
    <row r="3" spans="1:46" x14ac:dyDescent="0.25">
      <c r="A3" s="1" t="s">
        <v>2</v>
      </c>
      <c r="B3" s="8" t="s">
        <v>20</v>
      </c>
    </row>
    <row r="4" spans="1:46" x14ac:dyDescent="0.25">
      <c r="A4" s="1" t="s">
        <v>7</v>
      </c>
      <c r="B4" s="2">
        <v>2</v>
      </c>
    </row>
    <row r="6" spans="1:46" x14ac:dyDescent="0.25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25">
      <c r="A8" s="1" t="s">
        <v>8</v>
      </c>
      <c r="B8" s="2">
        <v>31</v>
      </c>
      <c r="C8" s="2">
        <v>34</v>
      </c>
      <c r="D8" s="2">
        <v>35</v>
      </c>
      <c r="E8" s="2">
        <v>37</v>
      </c>
      <c r="F8" s="2">
        <v>43</v>
      </c>
      <c r="G8" s="2">
        <v>40</v>
      </c>
      <c r="H8" s="2">
        <v>46</v>
      </c>
      <c r="I8" s="2">
        <v>44</v>
      </c>
      <c r="J8" s="2">
        <v>44</v>
      </c>
      <c r="K8" s="2">
        <v>46</v>
      </c>
      <c r="L8" s="2">
        <v>45</v>
      </c>
      <c r="M8" s="2">
        <v>43</v>
      </c>
      <c r="N8" s="2">
        <v>44</v>
      </c>
      <c r="O8" s="2">
        <v>44</v>
      </c>
      <c r="P8" s="2">
        <v>42</v>
      </c>
      <c r="Q8" s="2">
        <v>45</v>
      </c>
      <c r="R8" s="2">
        <v>42</v>
      </c>
      <c r="S8" s="2">
        <v>47</v>
      </c>
      <c r="T8" s="2">
        <v>42</v>
      </c>
      <c r="U8" s="2">
        <v>40</v>
      </c>
      <c r="V8" s="2">
        <v>39</v>
      </c>
      <c r="W8" s="2">
        <v>36</v>
      </c>
      <c r="X8" s="2">
        <v>33</v>
      </c>
      <c r="Y8" s="2">
        <v>31</v>
      </c>
      <c r="Z8" s="2">
        <v>32</v>
      </c>
      <c r="AA8" s="2">
        <v>27</v>
      </c>
      <c r="AB8" s="2">
        <v>23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25">
      <c r="A9" s="1" t="s">
        <v>9</v>
      </c>
      <c r="B9" s="2">
        <v>12</v>
      </c>
      <c r="C9" s="2">
        <v>14</v>
      </c>
      <c r="D9" s="2">
        <v>14</v>
      </c>
      <c r="E9" s="2">
        <v>15</v>
      </c>
      <c r="F9" s="2">
        <v>17</v>
      </c>
      <c r="G9" s="2">
        <v>16</v>
      </c>
      <c r="H9" s="2">
        <v>18</v>
      </c>
      <c r="I9" s="2">
        <v>18</v>
      </c>
      <c r="J9" s="2">
        <v>18</v>
      </c>
      <c r="K9" s="2">
        <v>18</v>
      </c>
      <c r="L9" s="2">
        <v>18</v>
      </c>
      <c r="M9" s="2">
        <v>17</v>
      </c>
      <c r="N9" s="2">
        <v>18</v>
      </c>
      <c r="O9" s="2">
        <v>18</v>
      </c>
      <c r="P9" s="2">
        <v>17</v>
      </c>
      <c r="Q9" s="2">
        <v>18</v>
      </c>
      <c r="R9" s="2">
        <v>17</v>
      </c>
      <c r="S9" s="2">
        <v>19</v>
      </c>
      <c r="T9" s="2">
        <v>17</v>
      </c>
      <c r="U9" s="2">
        <v>16</v>
      </c>
      <c r="V9" s="2">
        <v>16</v>
      </c>
      <c r="W9" s="2">
        <v>14</v>
      </c>
      <c r="X9" s="2">
        <v>13</v>
      </c>
      <c r="Y9" s="2">
        <v>12</v>
      </c>
      <c r="Z9" s="2">
        <v>13</v>
      </c>
      <c r="AA9" s="2">
        <v>11</v>
      </c>
      <c r="AB9" s="2">
        <v>9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25">
      <c r="A10" s="1" t="s">
        <v>10</v>
      </c>
      <c r="B10" s="2">
        <v>65</v>
      </c>
      <c r="C10" s="2">
        <v>64</v>
      </c>
      <c r="D10" s="2">
        <v>67</v>
      </c>
      <c r="E10" s="2">
        <v>79</v>
      </c>
      <c r="F10" s="2">
        <v>64</v>
      </c>
      <c r="G10" s="2">
        <v>54</v>
      </c>
      <c r="H10" s="2">
        <v>56</v>
      </c>
      <c r="I10" s="2">
        <v>61</v>
      </c>
      <c r="J10" s="2">
        <v>68</v>
      </c>
      <c r="K10" s="2">
        <v>56</v>
      </c>
      <c r="L10" s="2">
        <v>75</v>
      </c>
      <c r="M10" s="2">
        <v>90</v>
      </c>
      <c r="N10" s="2">
        <v>83</v>
      </c>
      <c r="O10" s="2">
        <v>71</v>
      </c>
      <c r="P10" s="2">
        <v>61</v>
      </c>
      <c r="Q10" s="2">
        <v>105</v>
      </c>
      <c r="R10" s="2">
        <v>60</v>
      </c>
      <c r="S10" s="2">
        <v>78</v>
      </c>
      <c r="T10" s="2">
        <v>68</v>
      </c>
      <c r="U10" s="2">
        <v>74</v>
      </c>
      <c r="V10" s="2">
        <v>71</v>
      </c>
      <c r="W10" s="2">
        <v>64</v>
      </c>
      <c r="X10" s="2">
        <v>67</v>
      </c>
      <c r="Y10" s="2">
        <v>55</v>
      </c>
      <c r="Z10" s="2">
        <v>48</v>
      </c>
      <c r="AA10" s="2">
        <v>61</v>
      </c>
      <c r="AB10" s="2">
        <v>46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25">
      <c r="A11" s="1" t="s">
        <v>3</v>
      </c>
    </row>
    <row r="12" spans="1:46" x14ac:dyDescent="0.25">
      <c r="A12" s="1"/>
    </row>
    <row r="13" spans="1:46" x14ac:dyDescent="0.25">
      <c r="A13" s="1" t="s">
        <v>11</v>
      </c>
      <c r="B13" s="3">
        <f>B10/30</f>
        <v>2.1666666666666665</v>
      </c>
      <c r="C13" s="3">
        <f t="shared" ref="C13:AT13" si="0">C10/30</f>
        <v>2.1333333333333333</v>
      </c>
      <c r="D13" s="3">
        <f t="shared" si="0"/>
        <v>2.2333333333333334</v>
      </c>
      <c r="E13" s="3">
        <f t="shared" si="0"/>
        <v>2.6333333333333333</v>
      </c>
      <c r="F13" s="3">
        <f t="shared" si="0"/>
        <v>2.1333333333333333</v>
      </c>
      <c r="G13" s="3">
        <f t="shared" si="0"/>
        <v>1.8</v>
      </c>
      <c r="H13" s="3">
        <f t="shared" si="0"/>
        <v>1.8666666666666667</v>
      </c>
      <c r="I13" s="3">
        <f t="shared" si="0"/>
        <v>2.0333333333333332</v>
      </c>
      <c r="J13" s="3">
        <f t="shared" si="0"/>
        <v>2.2666666666666666</v>
      </c>
      <c r="K13" s="3">
        <f t="shared" si="0"/>
        <v>1.8666666666666667</v>
      </c>
      <c r="L13" s="3">
        <f t="shared" si="0"/>
        <v>2.5</v>
      </c>
      <c r="M13" s="3">
        <f t="shared" si="0"/>
        <v>3</v>
      </c>
      <c r="N13" s="3">
        <f t="shared" si="0"/>
        <v>2.7666666666666666</v>
      </c>
      <c r="O13" s="3">
        <f t="shared" si="0"/>
        <v>2.3666666666666667</v>
      </c>
      <c r="P13" s="3">
        <f t="shared" si="0"/>
        <v>2.0333333333333332</v>
      </c>
      <c r="Q13" s="3">
        <f t="shared" si="0"/>
        <v>3.5</v>
      </c>
      <c r="R13" s="3">
        <f t="shared" si="0"/>
        <v>2</v>
      </c>
      <c r="S13" s="3">
        <f t="shared" si="0"/>
        <v>2.6</v>
      </c>
      <c r="T13" s="3">
        <f t="shared" si="0"/>
        <v>2.2666666666666666</v>
      </c>
      <c r="U13" s="3">
        <f t="shared" si="0"/>
        <v>2.4666666666666668</v>
      </c>
      <c r="V13" s="3">
        <f t="shared" si="0"/>
        <v>2.3666666666666667</v>
      </c>
      <c r="W13" s="3">
        <f t="shared" si="0"/>
        <v>2.1333333333333333</v>
      </c>
      <c r="X13" s="3">
        <f t="shared" si="0"/>
        <v>2.2333333333333334</v>
      </c>
      <c r="Y13" s="3">
        <f t="shared" si="0"/>
        <v>1.8333333333333333</v>
      </c>
      <c r="Z13" s="3">
        <f t="shared" si="0"/>
        <v>1.6</v>
      </c>
      <c r="AA13" s="3">
        <f t="shared" si="0"/>
        <v>2.0333333333333332</v>
      </c>
      <c r="AB13" s="3">
        <f t="shared" si="0"/>
        <v>1.5333333333333334</v>
      </c>
      <c r="AC13" s="3">
        <f t="shared" si="0"/>
        <v>0</v>
      </c>
      <c r="AD13" s="3">
        <f t="shared" si="0"/>
        <v>0</v>
      </c>
      <c r="AE13" s="3">
        <f t="shared" si="0"/>
        <v>0</v>
      </c>
      <c r="AF13" s="3">
        <f t="shared" si="0"/>
        <v>0</v>
      </c>
      <c r="AG13" s="3">
        <f t="shared" si="0"/>
        <v>0</v>
      </c>
      <c r="AH13" s="3">
        <f t="shared" si="0"/>
        <v>0</v>
      </c>
      <c r="AI13" s="3">
        <f t="shared" si="0"/>
        <v>0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25">
      <c r="A14" s="1" t="s">
        <v>12</v>
      </c>
      <c r="B14" s="3">
        <f xml:space="preserve"> 0.252*B13 + 0.006</f>
        <v>0.55199999999999994</v>
      </c>
      <c r="C14" s="3">
        <f t="shared" ref="C14:AT14" si="1" xml:space="preserve"> 0.252*C13 + 0.006</f>
        <v>0.54359999999999997</v>
      </c>
      <c r="D14" s="3">
        <f t="shared" si="1"/>
        <v>0.56879999999999997</v>
      </c>
      <c r="E14" s="3">
        <f t="shared" si="1"/>
        <v>0.66959999999999997</v>
      </c>
      <c r="F14" s="3">
        <f t="shared" si="1"/>
        <v>0.54359999999999997</v>
      </c>
      <c r="G14" s="3">
        <f t="shared" si="1"/>
        <v>0.45960000000000001</v>
      </c>
      <c r="H14" s="3">
        <f t="shared" si="1"/>
        <v>0.47639999999999999</v>
      </c>
      <c r="I14" s="3">
        <f t="shared" si="1"/>
        <v>0.51839999999999997</v>
      </c>
      <c r="J14" s="3">
        <f t="shared" si="1"/>
        <v>0.57720000000000005</v>
      </c>
      <c r="K14" s="3">
        <f t="shared" si="1"/>
        <v>0.47639999999999999</v>
      </c>
      <c r="L14" s="3">
        <f t="shared" si="1"/>
        <v>0.63600000000000001</v>
      </c>
      <c r="M14" s="3">
        <f t="shared" si="1"/>
        <v>0.76200000000000001</v>
      </c>
      <c r="N14" s="3">
        <f t="shared" si="1"/>
        <v>0.70320000000000005</v>
      </c>
      <c r="O14" s="3">
        <f t="shared" si="1"/>
        <v>0.60240000000000005</v>
      </c>
      <c r="P14" s="3">
        <f t="shared" si="1"/>
        <v>0.51839999999999997</v>
      </c>
      <c r="Q14" s="3">
        <f t="shared" si="1"/>
        <v>0.88800000000000001</v>
      </c>
      <c r="R14" s="3">
        <f t="shared" si="1"/>
        <v>0.51</v>
      </c>
      <c r="S14" s="3">
        <f t="shared" si="1"/>
        <v>0.66120000000000001</v>
      </c>
      <c r="T14" s="3">
        <f t="shared" si="1"/>
        <v>0.57720000000000005</v>
      </c>
      <c r="U14" s="3">
        <f t="shared" si="1"/>
        <v>0.62760000000000005</v>
      </c>
      <c r="V14" s="3">
        <f t="shared" si="1"/>
        <v>0.60240000000000005</v>
      </c>
      <c r="W14" s="3">
        <f t="shared" si="1"/>
        <v>0.54359999999999997</v>
      </c>
      <c r="X14" s="3">
        <f t="shared" si="1"/>
        <v>0.56879999999999997</v>
      </c>
      <c r="Y14" s="3">
        <f t="shared" si="1"/>
        <v>0.46799999999999997</v>
      </c>
      <c r="Z14" s="3">
        <f t="shared" si="1"/>
        <v>0.40920000000000001</v>
      </c>
      <c r="AA14" s="3">
        <f t="shared" si="1"/>
        <v>0.51839999999999997</v>
      </c>
      <c r="AB14" s="3">
        <f t="shared" si="1"/>
        <v>0.39240000000000003</v>
      </c>
      <c r="AC14" s="3">
        <f t="shared" si="1"/>
        <v>6.0000000000000001E-3</v>
      </c>
      <c r="AD14" s="3">
        <f t="shared" si="1"/>
        <v>6.0000000000000001E-3</v>
      </c>
      <c r="AE14" s="3">
        <f t="shared" si="1"/>
        <v>6.0000000000000001E-3</v>
      </c>
      <c r="AF14" s="3">
        <f t="shared" si="1"/>
        <v>6.0000000000000001E-3</v>
      </c>
      <c r="AG14" s="3">
        <f t="shared" si="1"/>
        <v>6.0000000000000001E-3</v>
      </c>
      <c r="AH14" s="3">
        <f t="shared" si="1"/>
        <v>6.0000000000000001E-3</v>
      </c>
      <c r="AI14" s="3">
        <f t="shared" si="1"/>
        <v>6.0000000000000001E-3</v>
      </c>
      <c r="AJ14" s="3">
        <f t="shared" si="1"/>
        <v>6.0000000000000001E-3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25">
      <c r="A15" s="1" t="s">
        <v>4</v>
      </c>
    </row>
    <row r="17" spans="1:46" x14ac:dyDescent="0.25">
      <c r="B17" s="1" t="s">
        <v>6</v>
      </c>
      <c r="C17" s="1">
        <v>0.5</v>
      </c>
    </row>
    <row r="18" spans="1:46" x14ac:dyDescent="0.25">
      <c r="A18" s="1" t="s">
        <v>13</v>
      </c>
      <c r="B18" s="3">
        <f>B14*$C$17*(B8/100)</f>
        <v>8.5559999999999983E-2</v>
      </c>
      <c r="C18" s="3">
        <f>C14*$C$17*(C8/100)</f>
        <v>9.2412000000000008E-2</v>
      </c>
      <c r="D18" s="3">
        <f t="shared" ref="D18:AT18" si="2">D14*$C$17*(D8/100)</f>
        <v>9.953999999999999E-2</v>
      </c>
      <c r="E18" s="3">
        <f t="shared" si="2"/>
        <v>0.123876</v>
      </c>
      <c r="F18" s="3">
        <f t="shared" si="2"/>
        <v>0.11687399999999999</v>
      </c>
      <c r="G18" s="3">
        <f t="shared" si="2"/>
        <v>9.1920000000000002E-2</v>
      </c>
      <c r="H18" s="3">
        <f t="shared" si="2"/>
        <v>0.109572</v>
      </c>
      <c r="I18" s="3">
        <f t="shared" si="2"/>
        <v>0.114048</v>
      </c>
      <c r="J18" s="3">
        <f t="shared" si="2"/>
        <v>0.12698400000000001</v>
      </c>
      <c r="K18" s="3">
        <f t="shared" si="2"/>
        <v>0.109572</v>
      </c>
      <c r="L18" s="3">
        <f t="shared" si="2"/>
        <v>0.1431</v>
      </c>
      <c r="M18" s="3">
        <f t="shared" si="2"/>
        <v>0.16383</v>
      </c>
      <c r="N18" s="3">
        <f t="shared" si="2"/>
        <v>0.15470400000000001</v>
      </c>
      <c r="O18" s="3">
        <f t="shared" si="2"/>
        <v>0.13252800000000001</v>
      </c>
      <c r="P18" s="3">
        <f t="shared" si="2"/>
        <v>0.10886399999999999</v>
      </c>
      <c r="Q18" s="3">
        <f t="shared" si="2"/>
        <v>0.19980000000000001</v>
      </c>
      <c r="R18" s="3">
        <f t="shared" si="2"/>
        <v>0.1071</v>
      </c>
      <c r="S18" s="3">
        <f t="shared" si="2"/>
        <v>0.15538199999999999</v>
      </c>
      <c r="T18" s="3">
        <f t="shared" si="2"/>
        <v>0.121212</v>
      </c>
      <c r="U18" s="3">
        <f t="shared" si="2"/>
        <v>0.12552000000000002</v>
      </c>
      <c r="V18" s="3">
        <f t="shared" si="2"/>
        <v>0.11746800000000002</v>
      </c>
      <c r="W18" s="3">
        <f t="shared" si="2"/>
        <v>9.7847999999999991E-2</v>
      </c>
      <c r="X18" s="3">
        <f t="shared" si="2"/>
        <v>9.3852000000000005E-2</v>
      </c>
      <c r="Y18" s="3">
        <f t="shared" si="2"/>
        <v>7.2539999999999993E-2</v>
      </c>
      <c r="Z18" s="3">
        <f t="shared" si="2"/>
        <v>6.5472000000000002E-2</v>
      </c>
      <c r="AA18" s="3">
        <f t="shared" si="2"/>
        <v>6.9984000000000005E-2</v>
      </c>
      <c r="AB18" s="3">
        <f t="shared" si="2"/>
        <v>4.5126000000000006E-2</v>
      </c>
      <c r="AC18" s="3">
        <f t="shared" si="2"/>
        <v>0</v>
      </c>
      <c r="AD18" s="3">
        <f t="shared" si="2"/>
        <v>0</v>
      </c>
      <c r="AE18" s="3">
        <f t="shared" si="2"/>
        <v>0</v>
      </c>
      <c r="AF18" s="3">
        <f t="shared" si="2"/>
        <v>0</v>
      </c>
      <c r="AG18" s="3">
        <f t="shared" si="2"/>
        <v>0</v>
      </c>
      <c r="AH18" s="3">
        <f t="shared" si="2"/>
        <v>0</v>
      </c>
      <c r="AI18" s="3">
        <f t="shared" si="2"/>
        <v>0</v>
      </c>
      <c r="AJ18" s="3">
        <f t="shared" si="2"/>
        <v>0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25">
      <c r="A19" s="1" t="s">
        <v>5</v>
      </c>
    </row>
    <row r="21" spans="1:46" x14ac:dyDescent="0.25">
      <c r="A21" s="1" t="s">
        <v>14</v>
      </c>
      <c r="B21" s="4">
        <f>SUM(B18:AT18)</f>
        <v>3.0446880000000003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F2EC-7BB7-4188-BAD4-1ABBE505ACAB}">
  <dimension ref="A1:AT21"/>
  <sheetViews>
    <sheetView workbookViewId="0">
      <selection activeCell="C24" sqref="C24"/>
    </sheetView>
  </sheetViews>
  <sheetFormatPr baseColWidth="10" defaultRowHeight="15" x14ac:dyDescent="0.25"/>
  <cols>
    <col min="1" max="1" width="31.7109375" bestFit="1" customWidth="1"/>
  </cols>
  <sheetData>
    <row r="1" spans="1:46" ht="15.75" x14ac:dyDescent="0.25">
      <c r="A1" s="6" t="s">
        <v>16</v>
      </c>
      <c r="B1" s="7">
        <v>43804</v>
      </c>
    </row>
    <row r="3" spans="1:46" x14ac:dyDescent="0.25">
      <c r="A3" s="1" t="s">
        <v>2</v>
      </c>
      <c r="B3" s="8" t="s">
        <v>21</v>
      </c>
    </row>
    <row r="4" spans="1:46" x14ac:dyDescent="0.25">
      <c r="A4" s="1" t="s">
        <v>7</v>
      </c>
      <c r="B4" s="8" t="s">
        <v>22</v>
      </c>
    </row>
    <row r="6" spans="1:46" x14ac:dyDescent="0.25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25">
      <c r="A8" s="1" t="s">
        <v>8</v>
      </c>
      <c r="B8" s="2"/>
      <c r="C8" s="2"/>
      <c r="D8" s="2">
        <v>19</v>
      </c>
      <c r="E8" s="2">
        <v>26</v>
      </c>
      <c r="F8" s="2">
        <v>26</v>
      </c>
      <c r="G8" s="2">
        <v>25</v>
      </c>
      <c r="H8" s="2">
        <v>27</v>
      </c>
      <c r="I8" s="2">
        <v>28</v>
      </c>
      <c r="J8" s="2">
        <v>27</v>
      </c>
      <c r="K8" s="2">
        <v>25</v>
      </c>
      <c r="L8" s="2">
        <v>25</v>
      </c>
      <c r="M8" s="2">
        <v>25</v>
      </c>
      <c r="N8" s="2">
        <v>25</v>
      </c>
      <c r="O8" s="2">
        <v>27</v>
      </c>
      <c r="P8" s="2">
        <v>25</v>
      </c>
      <c r="Q8" s="2">
        <v>26</v>
      </c>
      <c r="R8" s="2">
        <v>25</v>
      </c>
      <c r="S8" s="2">
        <v>22</v>
      </c>
      <c r="T8" s="2">
        <v>25</v>
      </c>
      <c r="U8" s="2">
        <v>25</v>
      </c>
      <c r="V8" s="2">
        <v>27</v>
      </c>
      <c r="W8" s="2">
        <v>27</v>
      </c>
      <c r="X8" s="2">
        <v>30</v>
      </c>
      <c r="Y8" s="2">
        <v>27</v>
      </c>
      <c r="Z8" s="2">
        <v>27</v>
      </c>
      <c r="AA8" s="2">
        <v>29</v>
      </c>
      <c r="AB8" s="2">
        <v>29</v>
      </c>
      <c r="AC8" s="2">
        <v>27</v>
      </c>
      <c r="AD8" s="2">
        <v>30</v>
      </c>
      <c r="AE8" s="2">
        <v>32</v>
      </c>
      <c r="AF8" s="2">
        <v>37</v>
      </c>
      <c r="AG8" s="2">
        <v>35</v>
      </c>
      <c r="AH8" s="2">
        <v>35</v>
      </c>
      <c r="AI8" s="2">
        <v>35</v>
      </c>
      <c r="AJ8" s="2">
        <v>25</v>
      </c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25">
      <c r="A9" s="1" t="s">
        <v>9</v>
      </c>
      <c r="B9" s="2"/>
      <c r="C9" s="2"/>
      <c r="D9" s="2">
        <v>8</v>
      </c>
      <c r="E9" s="2">
        <v>10</v>
      </c>
      <c r="F9" s="2">
        <v>10</v>
      </c>
      <c r="G9" s="2">
        <v>10</v>
      </c>
      <c r="H9" s="2">
        <v>11</v>
      </c>
      <c r="I9" s="2">
        <v>11</v>
      </c>
      <c r="J9" s="2">
        <v>11</v>
      </c>
      <c r="K9" s="2">
        <v>10</v>
      </c>
      <c r="L9" s="2">
        <v>10</v>
      </c>
      <c r="M9" s="2">
        <v>10</v>
      </c>
      <c r="N9" s="2">
        <v>10</v>
      </c>
      <c r="O9" s="2">
        <v>11</v>
      </c>
      <c r="P9" s="2">
        <v>10</v>
      </c>
      <c r="Q9" s="2">
        <v>10</v>
      </c>
      <c r="R9" s="2">
        <v>10</v>
      </c>
      <c r="S9" s="2">
        <v>9</v>
      </c>
      <c r="T9" s="2">
        <v>10</v>
      </c>
      <c r="U9" s="2">
        <v>10</v>
      </c>
      <c r="V9" s="2">
        <v>11</v>
      </c>
      <c r="W9" s="2">
        <v>11</v>
      </c>
      <c r="X9" s="2">
        <v>12</v>
      </c>
      <c r="Y9" s="2">
        <v>11</v>
      </c>
      <c r="Z9" s="2">
        <v>11</v>
      </c>
      <c r="AA9" s="2">
        <v>12</v>
      </c>
      <c r="AB9" s="2">
        <v>12</v>
      </c>
      <c r="AC9" s="2">
        <v>11</v>
      </c>
      <c r="AD9" s="2">
        <v>12</v>
      </c>
      <c r="AE9" s="2">
        <v>13</v>
      </c>
      <c r="AF9" s="2">
        <v>15</v>
      </c>
      <c r="AG9" s="2">
        <v>17</v>
      </c>
      <c r="AH9" s="2">
        <v>17</v>
      </c>
      <c r="AI9" s="2">
        <v>17</v>
      </c>
      <c r="AJ9" s="2">
        <v>10</v>
      </c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25">
      <c r="A10" s="1" t="s">
        <v>10</v>
      </c>
      <c r="B10" s="2"/>
      <c r="C10" s="2"/>
      <c r="D10" s="2">
        <v>56</v>
      </c>
      <c r="E10" s="2">
        <v>72</v>
      </c>
      <c r="F10" s="2">
        <v>81</v>
      </c>
      <c r="G10" s="2">
        <v>81</v>
      </c>
      <c r="H10" s="2">
        <v>73</v>
      </c>
      <c r="I10" s="2">
        <v>68</v>
      </c>
      <c r="J10" s="2">
        <v>75</v>
      </c>
      <c r="K10" s="2">
        <v>91</v>
      </c>
      <c r="L10" s="2">
        <v>72</v>
      </c>
      <c r="M10" s="2">
        <v>77</v>
      </c>
      <c r="N10" s="2">
        <v>86</v>
      </c>
      <c r="O10" s="2">
        <v>55</v>
      </c>
      <c r="P10" s="2">
        <v>81</v>
      </c>
      <c r="Q10" s="2">
        <v>73</v>
      </c>
      <c r="R10" s="2">
        <v>82</v>
      </c>
      <c r="S10" s="2">
        <v>103</v>
      </c>
      <c r="T10" s="2">
        <v>64</v>
      </c>
      <c r="U10" s="2">
        <v>67</v>
      </c>
      <c r="V10" s="2">
        <v>74</v>
      </c>
      <c r="W10" s="2">
        <v>88</v>
      </c>
      <c r="X10" s="2">
        <v>75</v>
      </c>
      <c r="Y10" s="2">
        <v>86</v>
      </c>
      <c r="Z10" s="2">
        <v>113</v>
      </c>
      <c r="AA10" s="2">
        <v>109</v>
      </c>
      <c r="AB10" s="2">
        <v>102</v>
      </c>
      <c r="AC10" s="2">
        <v>88</v>
      </c>
      <c r="AD10" s="2">
        <v>114</v>
      </c>
      <c r="AE10" s="2">
        <v>107</v>
      </c>
      <c r="AF10" s="2">
        <v>110</v>
      </c>
      <c r="AG10" s="2">
        <v>117</v>
      </c>
      <c r="AH10" s="2">
        <v>93</v>
      </c>
      <c r="AI10" s="2">
        <v>95</v>
      </c>
      <c r="AJ10" s="2">
        <v>57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25">
      <c r="A11" s="1" t="s">
        <v>3</v>
      </c>
    </row>
    <row r="12" spans="1:46" x14ac:dyDescent="0.25">
      <c r="A12" s="1"/>
    </row>
    <row r="13" spans="1:46" x14ac:dyDescent="0.25">
      <c r="A13" s="1" t="s">
        <v>11</v>
      </c>
      <c r="B13" s="3">
        <f>B10/30</f>
        <v>0</v>
      </c>
      <c r="C13" s="3">
        <f t="shared" ref="C13:AT13" si="0">C10/30</f>
        <v>0</v>
      </c>
      <c r="D13" s="3">
        <f t="shared" si="0"/>
        <v>1.8666666666666667</v>
      </c>
      <c r="E13" s="3">
        <f t="shared" si="0"/>
        <v>2.4</v>
      </c>
      <c r="F13" s="3">
        <f t="shared" si="0"/>
        <v>2.7</v>
      </c>
      <c r="G13" s="3">
        <f t="shared" si="0"/>
        <v>2.7</v>
      </c>
      <c r="H13" s="3">
        <f t="shared" si="0"/>
        <v>2.4333333333333331</v>
      </c>
      <c r="I13" s="3">
        <f t="shared" si="0"/>
        <v>2.2666666666666666</v>
      </c>
      <c r="J13" s="3">
        <f t="shared" si="0"/>
        <v>2.5</v>
      </c>
      <c r="K13" s="3">
        <f t="shared" si="0"/>
        <v>3.0333333333333332</v>
      </c>
      <c r="L13" s="3">
        <f t="shared" si="0"/>
        <v>2.4</v>
      </c>
      <c r="M13" s="3">
        <f t="shared" si="0"/>
        <v>2.5666666666666669</v>
      </c>
      <c r="N13" s="3">
        <f t="shared" si="0"/>
        <v>2.8666666666666667</v>
      </c>
      <c r="O13" s="3">
        <f t="shared" si="0"/>
        <v>1.8333333333333333</v>
      </c>
      <c r="P13" s="3">
        <f t="shared" si="0"/>
        <v>2.7</v>
      </c>
      <c r="Q13" s="3">
        <f t="shared" si="0"/>
        <v>2.4333333333333331</v>
      </c>
      <c r="R13" s="3">
        <f t="shared" si="0"/>
        <v>2.7333333333333334</v>
      </c>
      <c r="S13" s="3">
        <f t="shared" si="0"/>
        <v>3.4333333333333331</v>
      </c>
      <c r="T13" s="3">
        <f t="shared" si="0"/>
        <v>2.1333333333333333</v>
      </c>
      <c r="U13" s="3">
        <f t="shared" si="0"/>
        <v>2.2333333333333334</v>
      </c>
      <c r="V13" s="3">
        <f t="shared" si="0"/>
        <v>2.4666666666666668</v>
      </c>
      <c r="W13" s="3">
        <f t="shared" si="0"/>
        <v>2.9333333333333331</v>
      </c>
      <c r="X13" s="3">
        <f t="shared" si="0"/>
        <v>2.5</v>
      </c>
      <c r="Y13" s="3">
        <f t="shared" si="0"/>
        <v>2.8666666666666667</v>
      </c>
      <c r="Z13" s="3">
        <f t="shared" si="0"/>
        <v>3.7666666666666666</v>
      </c>
      <c r="AA13" s="3">
        <f t="shared" si="0"/>
        <v>3.6333333333333333</v>
      </c>
      <c r="AB13" s="3">
        <f t="shared" si="0"/>
        <v>3.4</v>
      </c>
      <c r="AC13" s="3">
        <f t="shared" si="0"/>
        <v>2.9333333333333331</v>
      </c>
      <c r="AD13" s="3">
        <f t="shared" si="0"/>
        <v>3.8</v>
      </c>
      <c r="AE13" s="3">
        <f t="shared" si="0"/>
        <v>3.5666666666666669</v>
      </c>
      <c r="AF13" s="3">
        <f t="shared" si="0"/>
        <v>3.6666666666666665</v>
      </c>
      <c r="AG13" s="3">
        <f t="shared" si="0"/>
        <v>3.9</v>
      </c>
      <c r="AH13" s="3">
        <f t="shared" si="0"/>
        <v>3.1</v>
      </c>
      <c r="AI13" s="3">
        <f t="shared" si="0"/>
        <v>3.1666666666666665</v>
      </c>
      <c r="AJ13" s="3">
        <f t="shared" si="0"/>
        <v>1.9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25">
      <c r="A14" s="1" t="s">
        <v>12</v>
      </c>
      <c r="B14" s="3">
        <f xml:space="preserve"> 0.252*B13 + 0.006</f>
        <v>6.0000000000000001E-3</v>
      </c>
      <c r="C14" s="3">
        <f t="shared" ref="C14:AT14" si="1" xml:space="preserve"> 0.252*C13 + 0.006</f>
        <v>6.0000000000000001E-3</v>
      </c>
      <c r="D14" s="3">
        <f t="shared" si="1"/>
        <v>0.47639999999999999</v>
      </c>
      <c r="E14" s="3">
        <f t="shared" si="1"/>
        <v>0.61080000000000001</v>
      </c>
      <c r="F14" s="3">
        <f t="shared" si="1"/>
        <v>0.68640000000000001</v>
      </c>
      <c r="G14" s="3">
        <f t="shared" si="1"/>
        <v>0.68640000000000001</v>
      </c>
      <c r="H14" s="3">
        <f t="shared" si="1"/>
        <v>0.61919999999999997</v>
      </c>
      <c r="I14" s="3">
        <f t="shared" si="1"/>
        <v>0.57720000000000005</v>
      </c>
      <c r="J14" s="3">
        <f t="shared" si="1"/>
        <v>0.63600000000000001</v>
      </c>
      <c r="K14" s="3">
        <f t="shared" si="1"/>
        <v>0.77039999999999997</v>
      </c>
      <c r="L14" s="3">
        <f t="shared" si="1"/>
        <v>0.61080000000000001</v>
      </c>
      <c r="M14" s="3">
        <f t="shared" si="1"/>
        <v>0.65280000000000005</v>
      </c>
      <c r="N14" s="3">
        <f t="shared" si="1"/>
        <v>0.72840000000000005</v>
      </c>
      <c r="O14" s="3">
        <f t="shared" si="1"/>
        <v>0.46799999999999997</v>
      </c>
      <c r="P14" s="3">
        <f t="shared" si="1"/>
        <v>0.68640000000000001</v>
      </c>
      <c r="Q14" s="3">
        <f t="shared" si="1"/>
        <v>0.61919999999999997</v>
      </c>
      <c r="R14" s="3">
        <f t="shared" si="1"/>
        <v>0.69479999999999997</v>
      </c>
      <c r="S14" s="3">
        <f t="shared" si="1"/>
        <v>0.87119999999999997</v>
      </c>
      <c r="T14" s="3">
        <f t="shared" si="1"/>
        <v>0.54359999999999997</v>
      </c>
      <c r="U14" s="3">
        <f t="shared" si="1"/>
        <v>0.56879999999999997</v>
      </c>
      <c r="V14" s="3">
        <f t="shared" si="1"/>
        <v>0.62760000000000005</v>
      </c>
      <c r="W14" s="3">
        <f t="shared" si="1"/>
        <v>0.74519999999999997</v>
      </c>
      <c r="X14" s="3">
        <f t="shared" si="1"/>
        <v>0.63600000000000001</v>
      </c>
      <c r="Y14" s="3">
        <f t="shared" si="1"/>
        <v>0.72840000000000005</v>
      </c>
      <c r="Z14" s="3">
        <f t="shared" si="1"/>
        <v>0.95520000000000005</v>
      </c>
      <c r="AA14" s="3">
        <f t="shared" si="1"/>
        <v>0.92159999999999997</v>
      </c>
      <c r="AB14" s="3">
        <f t="shared" si="1"/>
        <v>0.86280000000000001</v>
      </c>
      <c r="AC14" s="3">
        <f t="shared" si="1"/>
        <v>0.74519999999999997</v>
      </c>
      <c r="AD14" s="3">
        <f t="shared" si="1"/>
        <v>0.96360000000000001</v>
      </c>
      <c r="AE14" s="3">
        <f t="shared" si="1"/>
        <v>0.90480000000000005</v>
      </c>
      <c r="AF14" s="3">
        <f t="shared" si="1"/>
        <v>0.92999999999999994</v>
      </c>
      <c r="AG14" s="3">
        <f t="shared" si="1"/>
        <v>0.98880000000000001</v>
      </c>
      <c r="AH14" s="3">
        <f t="shared" si="1"/>
        <v>0.78720000000000001</v>
      </c>
      <c r="AI14" s="3">
        <f t="shared" si="1"/>
        <v>0.80399999999999994</v>
      </c>
      <c r="AJ14" s="3">
        <f t="shared" si="1"/>
        <v>0.48480000000000001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25">
      <c r="A15" s="1" t="s">
        <v>4</v>
      </c>
    </row>
    <row r="17" spans="1:46" x14ac:dyDescent="0.25">
      <c r="B17" s="1" t="s">
        <v>6</v>
      </c>
      <c r="C17" s="1">
        <v>0.5</v>
      </c>
    </row>
    <row r="18" spans="1:46" x14ac:dyDescent="0.25">
      <c r="A18" s="1" t="s">
        <v>13</v>
      </c>
      <c r="B18" s="3">
        <f>B14*$C$17*(B8/100)</f>
        <v>0</v>
      </c>
      <c r="C18" s="3">
        <f>C14*$C$17*(C8/100)</f>
        <v>0</v>
      </c>
      <c r="D18" s="3">
        <f t="shared" ref="D18:AT18" si="2">D14*$C$17*(D8/100)</f>
        <v>4.5258E-2</v>
      </c>
      <c r="E18" s="3">
        <f t="shared" si="2"/>
        <v>7.9404000000000002E-2</v>
      </c>
      <c r="F18" s="3">
        <f t="shared" si="2"/>
        <v>8.9232000000000006E-2</v>
      </c>
      <c r="G18" s="3">
        <f t="shared" si="2"/>
        <v>8.5800000000000001E-2</v>
      </c>
      <c r="H18" s="3">
        <f t="shared" si="2"/>
        <v>8.3592E-2</v>
      </c>
      <c r="I18" s="3">
        <f t="shared" si="2"/>
        <v>8.0808000000000019E-2</v>
      </c>
      <c r="J18" s="3">
        <f t="shared" si="2"/>
        <v>8.5860000000000006E-2</v>
      </c>
      <c r="K18" s="3">
        <f t="shared" si="2"/>
        <v>9.6299999999999997E-2</v>
      </c>
      <c r="L18" s="3">
        <f t="shared" si="2"/>
        <v>7.6350000000000001E-2</v>
      </c>
      <c r="M18" s="3">
        <f t="shared" si="2"/>
        <v>8.1600000000000006E-2</v>
      </c>
      <c r="N18" s="3">
        <f t="shared" si="2"/>
        <v>9.1050000000000006E-2</v>
      </c>
      <c r="O18" s="3">
        <f t="shared" si="2"/>
        <v>6.318E-2</v>
      </c>
      <c r="P18" s="3">
        <f t="shared" si="2"/>
        <v>8.5800000000000001E-2</v>
      </c>
      <c r="Q18" s="3">
        <f t="shared" si="2"/>
        <v>8.0495999999999998E-2</v>
      </c>
      <c r="R18" s="3">
        <f t="shared" si="2"/>
        <v>8.6849999999999997E-2</v>
      </c>
      <c r="S18" s="3">
        <f t="shared" si="2"/>
        <v>9.5832000000000001E-2</v>
      </c>
      <c r="T18" s="3">
        <f t="shared" si="2"/>
        <v>6.7949999999999997E-2</v>
      </c>
      <c r="U18" s="3">
        <f t="shared" si="2"/>
        <v>7.1099999999999997E-2</v>
      </c>
      <c r="V18" s="3">
        <f t="shared" si="2"/>
        <v>8.472600000000001E-2</v>
      </c>
      <c r="W18" s="3">
        <f t="shared" si="2"/>
        <v>0.100602</v>
      </c>
      <c r="X18" s="3">
        <f t="shared" si="2"/>
        <v>9.5399999999999999E-2</v>
      </c>
      <c r="Y18" s="3">
        <f t="shared" si="2"/>
        <v>9.8334000000000019E-2</v>
      </c>
      <c r="Z18" s="3">
        <f t="shared" si="2"/>
        <v>0.12895200000000001</v>
      </c>
      <c r="AA18" s="3">
        <f t="shared" si="2"/>
        <v>0.133632</v>
      </c>
      <c r="AB18" s="3">
        <f t="shared" si="2"/>
        <v>0.12510599999999999</v>
      </c>
      <c r="AC18" s="3">
        <f t="shared" si="2"/>
        <v>0.100602</v>
      </c>
      <c r="AD18" s="3">
        <f t="shared" si="2"/>
        <v>0.14454</v>
      </c>
      <c r="AE18" s="3">
        <f t="shared" si="2"/>
        <v>0.14476800000000001</v>
      </c>
      <c r="AF18" s="3">
        <f t="shared" si="2"/>
        <v>0.17204999999999998</v>
      </c>
      <c r="AG18" s="3">
        <f t="shared" si="2"/>
        <v>0.17304</v>
      </c>
      <c r="AH18" s="3">
        <f t="shared" si="2"/>
        <v>0.13775999999999999</v>
      </c>
      <c r="AI18" s="3">
        <f t="shared" si="2"/>
        <v>0.14069999999999999</v>
      </c>
      <c r="AJ18" s="3">
        <f t="shared" si="2"/>
        <v>6.0600000000000001E-2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25">
      <c r="A19" s="1" t="s">
        <v>5</v>
      </c>
    </row>
    <row r="21" spans="1:46" x14ac:dyDescent="0.25">
      <c r="A21" s="1" t="s">
        <v>14</v>
      </c>
      <c r="B21" s="4">
        <f>SUM(B18:AT18)</f>
        <v>3.287274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2468-B54A-4CBD-9A7E-D6208ED0CDA8}">
  <dimension ref="A1:AT21"/>
  <sheetViews>
    <sheetView workbookViewId="0">
      <selection activeCell="C24" sqref="C24"/>
    </sheetView>
  </sheetViews>
  <sheetFormatPr baseColWidth="10" defaultRowHeight="15" x14ac:dyDescent="0.25"/>
  <cols>
    <col min="1" max="1" width="31.7109375" bestFit="1" customWidth="1"/>
  </cols>
  <sheetData>
    <row r="1" spans="1:46" ht="15.75" x14ac:dyDescent="0.25">
      <c r="A1" s="6" t="s">
        <v>17</v>
      </c>
      <c r="B1" s="7">
        <v>43804</v>
      </c>
    </row>
    <row r="3" spans="1:46" x14ac:dyDescent="0.25">
      <c r="A3" s="1" t="s">
        <v>2</v>
      </c>
      <c r="B3" s="2">
        <v>14</v>
      </c>
    </row>
    <row r="4" spans="1:46" x14ac:dyDescent="0.25">
      <c r="A4" s="1" t="s">
        <v>7</v>
      </c>
      <c r="B4" s="2">
        <v>1</v>
      </c>
    </row>
    <row r="6" spans="1:46" x14ac:dyDescent="0.25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25">
      <c r="A8" s="1" t="s">
        <v>8</v>
      </c>
      <c r="B8" s="2">
        <v>20</v>
      </c>
      <c r="C8" s="2">
        <v>27</v>
      </c>
      <c r="D8" s="2">
        <v>33</v>
      </c>
      <c r="E8" s="2">
        <v>29</v>
      </c>
      <c r="F8" s="2">
        <v>35</v>
      </c>
      <c r="G8" s="2">
        <v>37</v>
      </c>
      <c r="H8" s="2">
        <v>40</v>
      </c>
      <c r="I8" s="2">
        <v>35</v>
      </c>
      <c r="J8" s="2">
        <v>40</v>
      </c>
      <c r="K8" s="2">
        <v>36</v>
      </c>
      <c r="L8" s="2">
        <v>37</v>
      </c>
      <c r="M8" s="2">
        <v>36</v>
      </c>
      <c r="N8" s="2">
        <v>36</v>
      </c>
      <c r="O8" s="2">
        <v>36</v>
      </c>
      <c r="P8" s="2">
        <v>36</v>
      </c>
      <c r="Q8" s="2">
        <v>37</v>
      </c>
      <c r="R8" s="2">
        <v>33</v>
      </c>
      <c r="S8" s="2">
        <v>36</v>
      </c>
      <c r="T8" s="2">
        <v>30</v>
      </c>
      <c r="U8" s="2">
        <v>30</v>
      </c>
      <c r="V8" s="2">
        <v>30</v>
      </c>
      <c r="W8" s="2">
        <v>30</v>
      </c>
      <c r="X8" s="2">
        <v>32</v>
      </c>
      <c r="Y8" s="2">
        <v>33</v>
      </c>
      <c r="Z8" s="2">
        <v>32</v>
      </c>
      <c r="AA8" s="2">
        <v>28</v>
      </c>
      <c r="AB8" s="2">
        <v>25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25">
      <c r="A9" s="1" t="s">
        <v>9</v>
      </c>
      <c r="B9" s="2">
        <v>8</v>
      </c>
      <c r="C9" s="2">
        <v>11</v>
      </c>
      <c r="D9" s="2">
        <v>13</v>
      </c>
      <c r="E9" s="2">
        <v>12</v>
      </c>
      <c r="F9" s="2">
        <v>14</v>
      </c>
      <c r="G9" s="2">
        <v>15</v>
      </c>
      <c r="H9" s="2">
        <v>16</v>
      </c>
      <c r="I9" s="2">
        <v>14</v>
      </c>
      <c r="J9" s="2">
        <v>16</v>
      </c>
      <c r="K9" s="2">
        <v>14</v>
      </c>
      <c r="L9" s="2">
        <v>15</v>
      </c>
      <c r="M9" s="2">
        <v>14</v>
      </c>
      <c r="N9" s="2">
        <v>14</v>
      </c>
      <c r="O9" s="2">
        <v>14</v>
      </c>
      <c r="P9" s="2">
        <v>14</v>
      </c>
      <c r="Q9" s="2">
        <v>15</v>
      </c>
      <c r="R9" s="2">
        <v>13</v>
      </c>
      <c r="S9" s="2">
        <v>14</v>
      </c>
      <c r="T9" s="2">
        <v>12</v>
      </c>
      <c r="U9" s="2">
        <v>12</v>
      </c>
      <c r="V9" s="2">
        <v>12</v>
      </c>
      <c r="W9" s="2">
        <v>12</v>
      </c>
      <c r="X9" s="2">
        <v>13</v>
      </c>
      <c r="Y9" s="2">
        <v>13</v>
      </c>
      <c r="Z9" s="2">
        <v>13</v>
      </c>
      <c r="AA9" s="2">
        <v>11</v>
      </c>
      <c r="AB9" s="2">
        <v>10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25">
      <c r="A10" s="1" t="s">
        <v>10</v>
      </c>
      <c r="B10" s="2">
        <v>39</v>
      </c>
      <c r="C10" s="2">
        <v>69</v>
      </c>
      <c r="D10" s="2">
        <v>58</v>
      </c>
      <c r="E10" s="2">
        <v>76</v>
      </c>
      <c r="F10" s="2">
        <v>69</v>
      </c>
      <c r="G10" s="2">
        <v>60</v>
      </c>
      <c r="H10" s="2">
        <v>69</v>
      </c>
      <c r="I10" s="2">
        <v>71</v>
      </c>
      <c r="J10" s="2">
        <v>79</v>
      </c>
      <c r="K10" s="2">
        <v>68</v>
      </c>
      <c r="L10" s="2">
        <v>77</v>
      </c>
      <c r="M10" s="2">
        <v>76</v>
      </c>
      <c r="N10" s="2">
        <v>78</v>
      </c>
      <c r="O10" s="2">
        <v>68</v>
      </c>
      <c r="P10" s="2">
        <v>82</v>
      </c>
      <c r="Q10" s="2">
        <v>89</v>
      </c>
      <c r="R10" s="2">
        <v>73</v>
      </c>
      <c r="S10" s="2">
        <v>52</v>
      </c>
      <c r="T10" s="2">
        <v>66</v>
      </c>
      <c r="U10" s="2">
        <v>80</v>
      </c>
      <c r="V10" s="2">
        <v>70</v>
      </c>
      <c r="W10" s="2">
        <v>65</v>
      </c>
      <c r="X10" s="2">
        <v>57</v>
      </c>
      <c r="Y10" s="2">
        <v>55</v>
      </c>
      <c r="Z10" s="2">
        <v>45</v>
      </c>
      <c r="AA10" s="2">
        <v>48</v>
      </c>
      <c r="AB10" s="2">
        <v>18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25">
      <c r="A11" s="1" t="s">
        <v>3</v>
      </c>
    </row>
    <row r="12" spans="1:46" x14ac:dyDescent="0.25">
      <c r="A12" s="1"/>
    </row>
    <row r="13" spans="1:46" x14ac:dyDescent="0.25">
      <c r="A13" s="1" t="s">
        <v>11</v>
      </c>
      <c r="B13" s="3">
        <f>B10/30</f>
        <v>1.3</v>
      </c>
      <c r="C13" s="3">
        <f t="shared" ref="C13:AT13" si="0">C10/30</f>
        <v>2.2999999999999998</v>
      </c>
      <c r="D13" s="3">
        <f t="shared" si="0"/>
        <v>1.9333333333333333</v>
      </c>
      <c r="E13" s="3">
        <f t="shared" si="0"/>
        <v>2.5333333333333332</v>
      </c>
      <c r="F13" s="3">
        <f t="shared" si="0"/>
        <v>2.2999999999999998</v>
      </c>
      <c r="G13" s="3">
        <f t="shared" si="0"/>
        <v>2</v>
      </c>
      <c r="H13" s="3">
        <f t="shared" si="0"/>
        <v>2.2999999999999998</v>
      </c>
      <c r="I13" s="3">
        <f t="shared" si="0"/>
        <v>2.3666666666666667</v>
      </c>
      <c r="J13" s="3">
        <f t="shared" si="0"/>
        <v>2.6333333333333333</v>
      </c>
      <c r="K13" s="3">
        <f t="shared" si="0"/>
        <v>2.2666666666666666</v>
      </c>
      <c r="L13" s="3">
        <f t="shared" si="0"/>
        <v>2.5666666666666669</v>
      </c>
      <c r="M13" s="3">
        <f t="shared" si="0"/>
        <v>2.5333333333333332</v>
      </c>
      <c r="N13" s="3">
        <f t="shared" si="0"/>
        <v>2.6</v>
      </c>
      <c r="O13" s="3">
        <f t="shared" si="0"/>
        <v>2.2666666666666666</v>
      </c>
      <c r="P13" s="3">
        <f t="shared" si="0"/>
        <v>2.7333333333333334</v>
      </c>
      <c r="Q13" s="3">
        <f t="shared" si="0"/>
        <v>2.9666666666666668</v>
      </c>
      <c r="R13" s="3">
        <f t="shared" si="0"/>
        <v>2.4333333333333331</v>
      </c>
      <c r="S13" s="3">
        <f t="shared" si="0"/>
        <v>1.7333333333333334</v>
      </c>
      <c r="T13" s="3">
        <f t="shared" si="0"/>
        <v>2.2000000000000002</v>
      </c>
      <c r="U13" s="3">
        <f t="shared" si="0"/>
        <v>2.6666666666666665</v>
      </c>
      <c r="V13" s="3">
        <f t="shared" si="0"/>
        <v>2.3333333333333335</v>
      </c>
      <c r="W13" s="3">
        <f t="shared" si="0"/>
        <v>2.1666666666666665</v>
      </c>
      <c r="X13" s="3">
        <f t="shared" si="0"/>
        <v>1.9</v>
      </c>
      <c r="Y13" s="3">
        <f t="shared" si="0"/>
        <v>1.8333333333333333</v>
      </c>
      <c r="Z13" s="3">
        <f t="shared" si="0"/>
        <v>1.5</v>
      </c>
      <c r="AA13" s="3">
        <f t="shared" si="0"/>
        <v>1.6</v>
      </c>
      <c r="AB13" s="3">
        <f t="shared" si="0"/>
        <v>0.6</v>
      </c>
      <c r="AC13" s="3">
        <f t="shared" si="0"/>
        <v>0</v>
      </c>
      <c r="AD13" s="3">
        <f t="shared" si="0"/>
        <v>0</v>
      </c>
      <c r="AE13" s="3">
        <f t="shared" si="0"/>
        <v>0</v>
      </c>
      <c r="AF13" s="3">
        <f t="shared" si="0"/>
        <v>0</v>
      </c>
      <c r="AG13" s="3">
        <f t="shared" si="0"/>
        <v>0</v>
      </c>
      <c r="AH13" s="3">
        <f t="shared" si="0"/>
        <v>0</v>
      </c>
      <c r="AI13" s="3">
        <f t="shared" si="0"/>
        <v>0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25">
      <c r="A14" s="1" t="s">
        <v>12</v>
      </c>
      <c r="B14" s="3">
        <f xml:space="preserve"> 0.252*B13 + 0.006</f>
        <v>0.33360000000000001</v>
      </c>
      <c r="C14" s="3">
        <f t="shared" ref="C14:AT14" si="1" xml:space="preserve"> 0.252*C13 + 0.006</f>
        <v>0.58560000000000001</v>
      </c>
      <c r="D14" s="3">
        <f t="shared" si="1"/>
        <v>0.49320000000000003</v>
      </c>
      <c r="E14" s="3">
        <f t="shared" si="1"/>
        <v>0.64439999999999997</v>
      </c>
      <c r="F14" s="3">
        <f t="shared" si="1"/>
        <v>0.58560000000000001</v>
      </c>
      <c r="G14" s="3">
        <f t="shared" si="1"/>
        <v>0.51</v>
      </c>
      <c r="H14" s="3">
        <f t="shared" si="1"/>
        <v>0.58560000000000001</v>
      </c>
      <c r="I14" s="3">
        <f t="shared" si="1"/>
        <v>0.60240000000000005</v>
      </c>
      <c r="J14" s="3">
        <f t="shared" si="1"/>
        <v>0.66959999999999997</v>
      </c>
      <c r="K14" s="3">
        <f t="shared" si="1"/>
        <v>0.57720000000000005</v>
      </c>
      <c r="L14" s="3">
        <f t="shared" si="1"/>
        <v>0.65280000000000005</v>
      </c>
      <c r="M14" s="3">
        <f t="shared" si="1"/>
        <v>0.64439999999999997</v>
      </c>
      <c r="N14" s="3">
        <f t="shared" si="1"/>
        <v>0.66120000000000001</v>
      </c>
      <c r="O14" s="3">
        <f t="shared" si="1"/>
        <v>0.57720000000000005</v>
      </c>
      <c r="P14" s="3">
        <f t="shared" si="1"/>
        <v>0.69479999999999997</v>
      </c>
      <c r="Q14" s="3">
        <f t="shared" si="1"/>
        <v>0.75360000000000005</v>
      </c>
      <c r="R14" s="3">
        <f t="shared" si="1"/>
        <v>0.61919999999999997</v>
      </c>
      <c r="S14" s="3">
        <f t="shared" si="1"/>
        <v>0.44280000000000003</v>
      </c>
      <c r="T14" s="3">
        <f t="shared" si="1"/>
        <v>0.56040000000000001</v>
      </c>
      <c r="U14" s="3">
        <f t="shared" si="1"/>
        <v>0.67799999999999994</v>
      </c>
      <c r="V14" s="3">
        <f t="shared" si="1"/>
        <v>0.59400000000000008</v>
      </c>
      <c r="W14" s="3">
        <f t="shared" si="1"/>
        <v>0.55199999999999994</v>
      </c>
      <c r="X14" s="3">
        <f t="shared" si="1"/>
        <v>0.48480000000000001</v>
      </c>
      <c r="Y14" s="3">
        <f t="shared" si="1"/>
        <v>0.46799999999999997</v>
      </c>
      <c r="Z14" s="3">
        <f t="shared" si="1"/>
        <v>0.38400000000000001</v>
      </c>
      <c r="AA14" s="3">
        <f t="shared" si="1"/>
        <v>0.40920000000000001</v>
      </c>
      <c r="AB14" s="3">
        <f t="shared" si="1"/>
        <v>0.15720000000000001</v>
      </c>
      <c r="AC14" s="3">
        <f t="shared" si="1"/>
        <v>6.0000000000000001E-3</v>
      </c>
      <c r="AD14" s="3">
        <f t="shared" si="1"/>
        <v>6.0000000000000001E-3</v>
      </c>
      <c r="AE14" s="3">
        <f t="shared" si="1"/>
        <v>6.0000000000000001E-3</v>
      </c>
      <c r="AF14" s="3">
        <f t="shared" si="1"/>
        <v>6.0000000000000001E-3</v>
      </c>
      <c r="AG14" s="3">
        <f t="shared" si="1"/>
        <v>6.0000000000000001E-3</v>
      </c>
      <c r="AH14" s="3">
        <f t="shared" si="1"/>
        <v>6.0000000000000001E-3</v>
      </c>
      <c r="AI14" s="3">
        <f t="shared" si="1"/>
        <v>6.0000000000000001E-3</v>
      </c>
      <c r="AJ14" s="3">
        <f t="shared" si="1"/>
        <v>6.0000000000000001E-3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25">
      <c r="A15" s="1" t="s">
        <v>4</v>
      </c>
    </row>
    <row r="17" spans="1:46" x14ac:dyDescent="0.25">
      <c r="B17" s="1" t="s">
        <v>6</v>
      </c>
      <c r="C17" s="1">
        <v>0.5</v>
      </c>
    </row>
    <row r="18" spans="1:46" x14ac:dyDescent="0.25">
      <c r="A18" s="1" t="s">
        <v>13</v>
      </c>
      <c r="B18" s="3">
        <f>B14*$C$17*(B8/100)</f>
        <v>3.3360000000000001E-2</v>
      </c>
      <c r="C18" s="3">
        <f>C14*$C$17*(C8/100)</f>
        <v>7.9056000000000001E-2</v>
      </c>
      <c r="D18" s="3">
        <f t="shared" ref="D18:AT18" si="2">D14*$C$17*(D8/100)</f>
        <v>8.1378000000000006E-2</v>
      </c>
      <c r="E18" s="3">
        <f t="shared" si="2"/>
        <v>9.3437999999999993E-2</v>
      </c>
      <c r="F18" s="3">
        <f t="shared" si="2"/>
        <v>0.10248</v>
      </c>
      <c r="G18" s="3">
        <f t="shared" si="2"/>
        <v>9.4350000000000003E-2</v>
      </c>
      <c r="H18" s="3">
        <f t="shared" si="2"/>
        <v>0.11712</v>
      </c>
      <c r="I18" s="3">
        <f t="shared" si="2"/>
        <v>0.10542</v>
      </c>
      <c r="J18" s="3">
        <f t="shared" si="2"/>
        <v>0.13392000000000001</v>
      </c>
      <c r="K18" s="3">
        <f t="shared" si="2"/>
        <v>0.103896</v>
      </c>
      <c r="L18" s="3">
        <f t="shared" si="2"/>
        <v>0.120768</v>
      </c>
      <c r="M18" s="3">
        <f t="shared" si="2"/>
        <v>0.11599199999999998</v>
      </c>
      <c r="N18" s="3">
        <f t="shared" si="2"/>
        <v>0.119016</v>
      </c>
      <c r="O18" s="3">
        <f t="shared" si="2"/>
        <v>0.103896</v>
      </c>
      <c r="P18" s="3">
        <f t="shared" si="2"/>
        <v>0.12506399999999998</v>
      </c>
      <c r="Q18" s="3">
        <f t="shared" si="2"/>
        <v>0.13941600000000001</v>
      </c>
      <c r="R18" s="3">
        <f t="shared" si="2"/>
        <v>0.10216799999999999</v>
      </c>
      <c r="S18" s="3">
        <f t="shared" si="2"/>
        <v>7.9703999999999997E-2</v>
      </c>
      <c r="T18" s="3">
        <f t="shared" si="2"/>
        <v>8.4059999999999996E-2</v>
      </c>
      <c r="U18" s="3">
        <f t="shared" si="2"/>
        <v>0.10169999999999998</v>
      </c>
      <c r="V18" s="3">
        <f t="shared" si="2"/>
        <v>8.9100000000000013E-2</v>
      </c>
      <c r="W18" s="3">
        <f t="shared" si="2"/>
        <v>8.2799999999999985E-2</v>
      </c>
      <c r="X18" s="3">
        <f t="shared" si="2"/>
        <v>7.7567999999999998E-2</v>
      </c>
      <c r="Y18" s="3">
        <f t="shared" si="2"/>
        <v>7.7219999999999997E-2</v>
      </c>
      <c r="Z18" s="3">
        <f t="shared" si="2"/>
        <v>6.1440000000000002E-2</v>
      </c>
      <c r="AA18" s="3">
        <f t="shared" si="2"/>
        <v>5.7288000000000006E-2</v>
      </c>
      <c r="AB18" s="3">
        <f t="shared" si="2"/>
        <v>1.9650000000000001E-2</v>
      </c>
      <c r="AC18" s="3">
        <f t="shared" si="2"/>
        <v>0</v>
      </c>
      <c r="AD18" s="3">
        <f t="shared" si="2"/>
        <v>0</v>
      </c>
      <c r="AE18" s="3">
        <f t="shared" si="2"/>
        <v>0</v>
      </c>
      <c r="AF18" s="3">
        <f t="shared" si="2"/>
        <v>0</v>
      </c>
      <c r="AG18" s="3">
        <f t="shared" si="2"/>
        <v>0</v>
      </c>
      <c r="AH18" s="3">
        <f t="shared" si="2"/>
        <v>0</v>
      </c>
      <c r="AI18" s="3">
        <f t="shared" si="2"/>
        <v>0</v>
      </c>
      <c r="AJ18" s="3">
        <f t="shared" si="2"/>
        <v>0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25">
      <c r="A19" s="1" t="s">
        <v>5</v>
      </c>
    </row>
    <row r="21" spans="1:46" x14ac:dyDescent="0.25">
      <c r="A21" s="1" t="s">
        <v>14</v>
      </c>
      <c r="B21" s="4">
        <f>SUM(B18:AT18)</f>
        <v>2.501268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3249-2171-44A3-B772-9462E7DD8C37}">
  <dimension ref="A1:AT21"/>
  <sheetViews>
    <sheetView tabSelected="1" zoomScale="99" zoomScaleNormal="55" workbookViewId="0">
      <selection activeCell="D21" sqref="D21"/>
    </sheetView>
  </sheetViews>
  <sheetFormatPr baseColWidth="10" defaultRowHeight="15" x14ac:dyDescent="0.25"/>
  <cols>
    <col min="1" max="1" width="31.7109375" bestFit="1" customWidth="1"/>
  </cols>
  <sheetData>
    <row r="1" spans="1:46" ht="15.75" x14ac:dyDescent="0.25">
      <c r="A1" s="6" t="s">
        <v>18</v>
      </c>
      <c r="B1" s="7">
        <v>43804</v>
      </c>
    </row>
    <row r="3" spans="1:46" x14ac:dyDescent="0.25">
      <c r="A3" s="1" t="s">
        <v>2</v>
      </c>
      <c r="B3" s="2">
        <v>18</v>
      </c>
    </row>
    <row r="4" spans="1:46" x14ac:dyDescent="0.25">
      <c r="A4" s="1" t="s">
        <v>7</v>
      </c>
      <c r="B4" s="2">
        <v>3</v>
      </c>
    </row>
    <row r="6" spans="1:46" x14ac:dyDescent="0.25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25">
      <c r="A8" s="1" t="s">
        <v>8</v>
      </c>
      <c r="B8" s="2">
        <v>20</v>
      </c>
      <c r="C8" s="2">
        <v>25</v>
      </c>
      <c r="D8" s="2">
        <v>26</v>
      </c>
      <c r="E8" s="2">
        <v>28</v>
      </c>
      <c r="F8" s="2">
        <v>31</v>
      </c>
      <c r="G8" s="2">
        <v>31</v>
      </c>
      <c r="H8" s="2">
        <v>31</v>
      </c>
      <c r="I8" s="2">
        <v>31</v>
      </c>
      <c r="J8" s="2">
        <v>32</v>
      </c>
      <c r="K8" s="2">
        <v>32</v>
      </c>
      <c r="L8" s="2">
        <v>34</v>
      </c>
      <c r="M8" s="2">
        <v>33</v>
      </c>
      <c r="N8" s="2">
        <v>32</v>
      </c>
      <c r="O8" s="2">
        <v>33</v>
      </c>
      <c r="P8" s="2">
        <v>34</v>
      </c>
      <c r="Q8" s="2">
        <v>34</v>
      </c>
      <c r="R8" s="2">
        <v>35</v>
      </c>
      <c r="S8" s="2">
        <v>35</v>
      </c>
      <c r="T8" s="2">
        <v>35</v>
      </c>
      <c r="U8" s="2">
        <v>35</v>
      </c>
      <c r="V8" s="2">
        <v>34</v>
      </c>
      <c r="W8" s="2">
        <v>35</v>
      </c>
      <c r="X8" s="2">
        <v>35</v>
      </c>
      <c r="Y8" s="2">
        <v>34</v>
      </c>
      <c r="Z8" s="2">
        <v>32</v>
      </c>
      <c r="AA8" s="2">
        <v>34</v>
      </c>
      <c r="AB8" s="2">
        <v>33</v>
      </c>
      <c r="AC8" s="2">
        <v>31</v>
      </c>
      <c r="AD8" s="2">
        <v>32</v>
      </c>
      <c r="AE8" s="2">
        <v>31</v>
      </c>
      <c r="AF8" s="2">
        <v>31</v>
      </c>
      <c r="AG8" s="2">
        <v>30</v>
      </c>
      <c r="AH8" s="2">
        <v>30</v>
      </c>
      <c r="AI8" s="2">
        <v>26</v>
      </c>
      <c r="AJ8" s="2">
        <v>25</v>
      </c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25">
      <c r="A9" s="1" t="s">
        <v>9</v>
      </c>
      <c r="B9" s="2">
        <v>8</v>
      </c>
      <c r="C9" s="2">
        <v>10</v>
      </c>
      <c r="D9" s="2">
        <v>10</v>
      </c>
      <c r="E9" s="2">
        <v>11</v>
      </c>
      <c r="F9" s="2">
        <v>12</v>
      </c>
      <c r="G9" s="2">
        <v>12</v>
      </c>
      <c r="H9" s="2">
        <v>12</v>
      </c>
      <c r="I9" s="2">
        <v>12</v>
      </c>
      <c r="J9" s="2">
        <v>12</v>
      </c>
      <c r="K9" s="2">
        <v>13</v>
      </c>
      <c r="L9" s="2">
        <v>14</v>
      </c>
      <c r="M9" s="2">
        <v>13</v>
      </c>
      <c r="N9" s="2">
        <v>12</v>
      </c>
      <c r="O9" s="2">
        <v>13</v>
      </c>
      <c r="P9" s="2">
        <v>14</v>
      </c>
      <c r="Q9" s="2">
        <v>14</v>
      </c>
      <c r="R9" s="2">
        <v>14</v>
      </c>
      <c r="S9" s="2">
        <v>14</v>
      </c>
      <c r="T9" s="2">
        <v>14</v>
      </c>
      <c r="U9" s="2">
        <v>14</v>
      </c>
      <c r="V9" s="2">
        <v>14</v>
      </c>
      <c r="W9" s="2">
        <v>14</v>
      </c>
      <c r="X9" s="2">
        <v>14</v>
      </c>
      <c r="Y9" s="2">
        <v>14</v>
      </c>
      <c r="Z9" s="2">
        <v>12</v>
      </c>
      <c r="AA9" s="2">
        <v>14</v>
      </c>
      <c r="AB9" s="2">
        <v>13</v>
      </c>
      <c r="AC9" s="2">
        <v>12</v>
      </c>
      <c r="AD9" s="2">
        <v>12</v>
      </c>
      <c r="AE9" s="2">
        <v>12</v>
      </c>
      <c r="AF9" s="2">
        <v>12</v>
      </c>
      <c r="AG9" s="2">
        <v>12</v>
      </c>
      <c r="AH9" s="2">
        <v>12</v>
      </c>
      <c r="AI9" s="2">
        <v>10</v>
      </c>
      <c r="AJ9" s="2">
        <v>10</v>
      </c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25">
      <c r="A10" s="1" t="s">
        <v>10</v>
      </c>
      <c r="B10" s="2">
        <v>32</v>
      </c>
      <c r="C10" s="2">
        <v>49</v>
      </c>
      <c r="D10" s="2">
        <v>52</v>
      </c>
      <c r="E10" s="2">
        <v>49</v>
      </c>
      <c r="F10" s="2">
        <v>59</v>
      </c>
      <c r="G10" s="2">
        <v>57</v>
      </c>
      <c r="H10" s="2">
        <v>60</v>
      </c>
      <c r="I10" s="2">
        <v>57</v>
      </c>
      <c r="J10" s="2">
        <v>61</v>
      </c>
      <c r="K10" s="2">
        <v>60</v>
      </c>
      <c r="L10" s="2">
        <v>66</v>
      </c>
      <c r="M10" s="2">
        <v>62</v>
      </c>
      <c r="N10" s="2">
        <v>63</v>
      </c>
      <c r="O10" s="2">
        <v>63</v>
      </c>
      <c r="P10" s="2">
        <v>67</v>
      </c>
      <c r="Q10" s="2">
        <v>63</v>
      </c>
      <c r="R10" s="2">
        <v>65</v>
      </c>
      <c r="S10" s="2">
        <v>63</v>
      </c>
      <c r="T10" s="2">
        <v>59</v>
      </c>
      <c r="U10" s="2">
        <v>62</v>
      </c>
      <c r="V10" s="2">
        <v>61</v>
      </c>
      <c r="W10" s="2">
        <v>58</v>
      </c>
      <c r="X10" s="9">
        <v>60</v>
      </c>
      <c r="Y10" s="9">
        <v>57</v>
      </c>
      <c r="Z10" s="9">
        <v>56</v>
      </c>
      <c r="AA10" s="9">
        <v>61</v>
      </c>
      <c r="AB10" s="9">
        <v>58</v>
      </c>
      <c r="AC10" s="9">
        <v>57</v>
      </c>
      <c r="AD10" s="9">
        <v>54</v>
      </c>
      <c r="AE10" s="9">
        <v>47</v>
      </c>
      <c r="AF10" s="9">
        <v>37</v>
      </c>
      <c r="AG10" s="9">
        <v>34</v>
      </c>
      <c r="AH10" s="9">
        <v>40</v>
      </c>
      <c r="AI10" s="9">
        <v>33</v>
      </c>
      <c r="AJ10" s="9">
        <v>32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25">
      <c r="A11" s="1" t="s">
        <v>3</v>
      </c>
    </row>
    <row r="12" spans="1:46" x14ac:dyDescent="0.25">
      <c r="A12" s="1"/>
    </row>
    <row r="13" spans="1:46" x14ac:dyDescent="0.25">
      <c r="A13" s="1" t="s">
        <v>11</v>
      </c>
      <c r="B13" s="3">
        <f>B10/30</f>
        <v>1.0666666666666667</v>
      </c>
      <c r="C13" s="3">
        <f t="shared" ref="C13:AT13" si="0">C10/30</f>
        <v>1.6333333333333333</v>
      </c>
      <c r="D13" s="3">
        <f t="shared" si="0"/>
        <v>1.7333333333333334</v>
      </c>
      <c r="E13" s="3">
        <f t="shared" si="0"/>
        <v>1.6333333333333333</v>
      </c>
      <c r="F13" s="3">
        <f t="shared" si="0"/>
        <v>1.9666666666666666</v>
      </c>
      <c r="G13" s="3">
        <f t="shared" si="0"/>
        <v>1.9</v>
      </c>
      <c r="H13" s="3">
        <f t="shared" si="0"/>
        <v>2</v>
      </c>
      <c r="I13" s="3">
        <f t="shared" si="0"/>
        <v>1.9</v>
      </c>
      <c r="J13" s="3">
        <f t="shared" si="0"/>
        <v>2.0333333333333332</v>
      </c>
      <c r="K13" s="3">
        <f t="shared" si="0"/>
        <v>2</v>
      </c>
      <c r="L13" s="3">
        <f t="shared" si="0"/>
        <v>2.2000000000000002</v>
      </c>
      <c r="M13" s="3">
        <f t="shared" si="0"/>
        <v>2.0666666666666669</v>
      </c>
      <c r="N13" s="3">
        <f t="shared" si="0"/>
        <v>2.1</v>
      </c>
      <c r="O13" s="3">
        <f t="shared" si="0"/>
        <v>2.1</v>
      </c>
      <c r="P13" s="3">
        <f t="shared" si="0"/>
        <v>2.2333333333333334</v>
      </c>
      <c r="Q13" s="3">
        <f t="shared" si="0"/>
        <v>2.1</v>
      </c>
      <c r="R13" s="3">
        <f t="shared" si="0"/>
        <v>2.1666666666666665</v>
      </c>
      <c r="S13" s="3">
        <f t="shared" si="0"/>
        <v>2.1</v>
      </c>
      <c r="T13" s="3">
        <f t="shared" si="0"/>
        <v>1.9666666666666666</v>
      </c>
      <c r="U13" s="3">
        <f t="shared" si="0"/>
        <v>2.0666666666666669</v>
      </c>
      <c r="V13" s="3">
        <f t="shared" si="0"/>
        <v>2.0333333333333332</v>
      </c>
      <c r="W13" s="3">
        <f t="shared" si="0"/>
        <v>1.9333333333333333</v>
      </c>
      <c r="X13" s="3">
        <f t="shared" si="0"/>
        <v>2</v>
      </c>
      <c r="Y13" s="3">
        <f t="shared" si="0"/>
        <v>1.9</v>
      </c>
      <c r="Z13" s="3">
        <f t="shared" si="0"/>
        <v>1.8666666666666667</v>
      </c>
      <c r="AA13" s="3">
        <f t="shared" si="0"/>
        <v>2.0333333333333332</v>
      </c>
      <c r="AB13" s="3">
        <f t="shared" si="0"/>
        <v>1.9333333333333333</v>
      </c>
      <c r="AC13" s="3">
        <f t="shared" si="0"/>
        <v>1.9</v>
      </c>
      <c r="AD13" s="3">
        <f t="shared" si="0"/>
        <v>1.8</v>
      </c>
      <c r="AE13" s="3">
        <f t="shared" si="0"/>
        <v>1.5666666666666667</v>
      </c>
      <c r="AF13" s="3">
        <f t="shared" si="0"/>
        <v>1.2333333333333334</v>
      </c>
      <c r="AG13" s="3">
        <f t="shared" si="0"/>
        <v>1.1333333333333333</v>
      </c>
      <c r="AH13" s="3">
        <f t="shared" si="0"/>
        <v>1.3333333333333333</v>
      </c>
      <c r="AI13" s="3">
        <f t="shared" si="0"/>
        <v>1.1000000000000001</v>
      </c>
      <c r="AJ13" s="3">
        <f t="shared" si="0"/>
        <v>1.0666666666666667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25">
      <c r="A14" s="1" t="s">
        <v>12</v>
      </c>
      <c r="B14" s="3">
        <f xml:space="preserve"> 0.252*B13 + 0.006</f>
        <v>0.27479999999999999</v>
      </c>
      <c r="C14" s="3">
        <f t="shared" ref="C14:AT14" si="1" xml:space="preserve"> 0.252*C13 + 0.006</f>
        <v>0.41760000000000003</v>
      </c>
      <c r="D14" s="3">
        <f t="shared" si="1"/>
        <v>0.44280000000000003</v>
      </c>
      <c r="E14" s="3">
        <f t="shared" si="1"/>
        <v>0.41760000000000003</v>
      </c>
      <c r="F14" s="3">
        <f t="shared" si="1"/>
        <v>0.50159999999999993</v>
      </c>
      <c r="G14" s="3">
        <f t="shared" si="1"/>
        <v>0.48480000000000001</v>
      </c>
      <c r="H14" s="3">
        <f t="shared" si="1"/>
        <v>0.51</v>
      </c>
      <c r="I14" s="3">
        <f t="shared" si="1"/>
        <v>0.48480000000000001</v>
      </c>
      <c r="J14" s="3">
        <f t="shared" si="1"/>
        <v>0.51839999999999997</v>
      </c>
      <c r="K14" s="3">
        <f t="shared" si="1"/>
        <v>0.51</v>
      </c>
      <c r="L14" s="3">
        <f t="shared" si="1"/>
        <v>0.56040000000000001</v>
      </c>
      <c r="M14" s="3">
        <f t="shared" si="1"/>
        <v>0.52680000000000005</v>
      </c>
      <c r="N14" s="3">
        <f t="shared" si="1"/>
        <v>0.53520000000000001</v>
      </c>
      <c r="O14" s="3">
        <f t="shared" si="1"/>
        <v>0.53520000000000001</v>
      </c>
      <c r="P14" s="3">
        <f t="shared" si="1"/>
        <v>0.56879999999999997</v>
      </c>
      <c r="Q14" s="3">
        <f t="shared" si="1"/>
        <v>0.53520000000000001</v>
      </c>
      <c r="R14" s="3">
        <f t="shared" si="1"/>
        <v>0.55199999999999994</v>
      </c>
      <c r="S14" s="3">
        <f t="shared" si="1"/>
        <v>0.53520000000000001</v>
      </c>
      <c r="T14" s="3">
        <f t="shared" si="1"/>
        <v>0.50159999999999993</v>
      </c>
      <c r="U14" s="3">
        <f t="shared" si="1"/>
        <v>0.52680000000000005</v>
      </c>
      <c r="V14" s="3">
        <f t="shared" si="1"/>
        <v>0.51839999999999997</v>
      </c>
      <c r="W14" s="3">
        <f t="shared" si="1"/>
        <v>0.49320000000000003</v>
      </c>
      <c r="X14" s="3">
        <f t="shared" si="1"/>
        <v>0.51</v>
      </c>
      <c r="Y14" s="3">
        <f t="shared" si="1"/>
        <v>0.48480000000000001</v>
      </c>
      <c r="Z14" s="3">
        <f t="shared" si="1"/>
        <v>0.47639999999999999</v>
      </c>
      <c r="AA14" s="3">
        <f t="shared" si="1"/>
        <v>0.51839999999999997</v>
      </c>
      <c r="AB14" s="3">
        <f t="shared" si="1"/>
        <v>0.49320000000000003</v>
      </c>
      <c r="AC14" s="3">
        <f t="shared" si="1"/>
        <v>0.48480000000000001</v>
      </c>
      <c r="AD14" s="3">
        <f t="shared" si="1"/>
        <v>0.45960000000000001</v>
      </c>
      <c r="AE14" s="3">
        <f t="shared" si="1"/>
        <v>0.40079999999999999</v>
      </c>
      <c r="AF14" s="3">
        <f t="shared" si="1"/>
        <v>0.31680000000000003</v>
      </c>
      <c r="AG14" s="3">
        <f t="shared" si="1"/>
        <v>0.29160000000000003</v>
      </c>
      <c r="AH14" s="3">
        <f t="shared" si="1"/>
        <v>0.34199999999999997</v>
      </c>
      <c r="AI14" s="3">
        <f t="shared" si="1"/>
        <v>0.28320000000000001</v>
      </c>
      <c r="AJ14" s="3">
        <f t="shared" si="1"/>
        <v>0.27479999999999999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25">
      <c r="A15" s="1" t="s">
        <v>4</v>
      </c>
    </row>
    <row r="17" spans="1:46" x14ac:dyDescent="0.25">
      <c r="B17" s="1" t="s">
        <v>6</v>
      </c>
      <c r="C17" s="1">
        <v>0.5</v>
      </c>
    </row>
    <row r="18" spans="1:46" x14ac:dyDescent="0.25">
      <c r="A18" s="1" t="s">
        <v>13</v>
      </c>
      <c r="B18" s="3">
        <f>B14*$C$17*(B8/100)</f>
        <v>2.7480000000000001E-2</v>
      </c>
      <c r="C18" s="3">
        <f>C14*$C$17*(C8/100)</f>
        <v>5.2200000000000003E-2</v>
      </c>
      <c r="D18" s="3">
        <f t="shared" ref="D18:AT18" si="2">D14*$C$17*(D8/100)</f>
        <v>5.7564000000000004E-2</v>
      </c>
      <c r="E18" s="3">
        <f t="shared" si="2"/>
        <v>5.8464000000000009E-2</v>
      </c>
      <c r="F18" s="3">
        <f t="shared" si="2"/>
        <v>7.7747999999999984E-2</v>
      </c>
      <c r="G18" s="3">
        <f t="shared" si="2"/>
        <v>7.5144000000000002E-2</v>
      </c>
      <c r="H18" s="3">
        <f t="shared" si="2"/>
        <v>7.9049999999999995E-2</v>
      </c>
      <c r="I18" s="3">
        <f t="shared" si="2"/>
        <v>7.5144000000000002E-2</v>
      </c>
      <c r="J18" s="3">
        <f t="shared" si="2"/>
        <v>8.2944000000000004E-2</v>
      </c>
      <c r="K18" s="3">
        <f t="shared" si="2"/>
        <v>8.1600000000000006E-2</v>
      </c>
      <c r="L18" s="3">
        <f t="shared" si="2"/>
        <v>9.5268000000000005E-2</v>
      </c>
      <c r="M18" s="3">
        <f t="shared" si="2"/>
        <v>8.6922000000000013E-2</v>
      </c>
      <c r="N18" s="3">
        <f t="shared" si="2"/>
        <v>8.5632E-2</v>
      </c>
      <c r="O18" s="3">
        <f t="shared" si="2"/>
        <v>8.8308000000000011E-2</v>
      </c>
      <c r="P18" s="3">
        <f t="shared" si="2"/>
        <v>9.6696000000000004E-2</v>
      </c>
      <c r="Q18" s="3">
        <f t="shared" si="2"/>
        <v>9.0984000000000009E-2</v>
      </c>
      <c r="R18" s="3">
        <f t="shared" si="2"/>
        <v>9.6599999999999978E-2</v>
      </c>
      <c r="S18" s="3">
        <f t="shared" si="2"/>
        <v>9.3659999999999993E-2</v>
      </c>
      <c r="T18" s="3">
        <f t="shared" si="2"/>
        <v>8.7779999999999983E-2</v>
      </c>
      <c r="U18" s="3">
        <f t="shared" si="2"/>
        <v>9.2190000000000008E-2</v>
      </c>
      <c r="V18" s="3">
        <f t="shared" si="2"/>
        <v>8.8127999999999998E-2</v>
      </c>
      <c r="W18" s="3">
        <f t="shared" si="2"/>
        <v>8.6309999999999998E-2</v>
      </c>
      <c r="X18" s="3">
        <f t="shared" si="2"/>
        <v>8.9249999999999996E-2</v>
      </c>
      <c r="Y18" s="3">
        <f t="shared" si="2"/>
        <v>8.2416000000000003E-2</v>
      </c>
      <c r="Z18" s="3">
        <f t="shared" si="2"/>
        <v>7.6224E-2</v>
      </c>
      <c r="AA18" s="3">
        <f t="shared" si="2"/>
        <v>8.8127999999999998E-2</v>
      </c>
      <c r="AB18" s="3">
        <f t="shared" si="2"/>
        <v>8.1378000000000006E-2</v>
      </c>
      <c r="AC18" s="3">
        <f t="shared" si="2"/>
        <v>7.5144000000000002E-2</v>
      </c>
      <c r="AD18" s="3">
        <f t="shared" si="2"/>
        <v>7.3536000000000004E-2</v>
      </c>
      <c r="AE18" s="3">
        <f t="shared" si="2"/>
        <v>6.2123999999999999E-2</v>
      </c>
      <c r="AF18" s="3">
        <f t="shared" si="2"/>
        <v>4.9104000000000002E-2</v>
      </c>
      <c r="AG18" s="3">
        <f t="shared" si="2"/>
        <v>4.3740000000000001E-2</v>
      </c>
      <c r="AH18" s="3">
        <f t="shared" si="2"/>
        <v>5.1299999999999991E-2</v>
      </c>
      <c r="AI18" s="3">
        <f t="shared" si="2"/>
        <v>3.6816000000000002E-2</v>
      </c>
      <c r="AJ18" s="3">
        <f t="shared" si="2"/>
        <v>3.4349999999999999E-2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25">
      <c r="A19" s="1" t="s">
        <v>5</v>
      </c>
    </row>
    <row r="21" spans="1:46" x14ac:dyDescent="0.25">
      <c r="A21" s="1" t="s">
        <v>14</v>
      </c>
      <c r="B21" s="4">
        <f>SUM(B18:AT18)</f>
        <v>2.5993259999999996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3275-DC35-46EB-874F-F18DEE61F5D7}">
  <dimension ref="A1"/>
  <sheetViews>
    <sheetView zoomScale="50" zoomScaleNormal="50" workbookViewId="0">
      <selection activeCell="Q20" sqref="Q20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S1_051219</vt:lpstr>
      <vt:lpstr>S2_051219</vt:lpstr>
      <vt:lpstr>S3_051219</vt:lpstr>
      <vt:lpstr>S4_051219</vt:lpstr>
      <vt:lpstr>S5_051219</vt:lpstr>
      <vt:lpstr>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Ricarda Breitenstein</cp:lastModifiedBy>
  <dcterms:created xsi:type="dcterms:W3CDTF">2019-12-12T11:12:44Z</dcterms:created>
  <dcterms:modified xsi:type="dcterms:W3CDTF">2019-12-28T12:46:10Z</dcterms:modified>
</cp:coreProperties>
</file>