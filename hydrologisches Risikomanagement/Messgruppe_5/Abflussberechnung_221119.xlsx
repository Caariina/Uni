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ina\Desktop\Studium\5. Semester\hydrologisches Risikomanagement\"/>
    </mc:Choice>
  </mc:AlternateContent>
  <xr:revisionPtr revIDLastSave="0" documentId="8_{49AEB90B-536A-4932-8695-E3D519E06CDE}" xr6:coauthVersionLast="44" xr6:coauthVersionMax="44" xr10:uidLastSave="{00000000-0000-0000-0000-000000000000}"/>
  <bookViews>
    <workbookView xWindow="-108" yWindow="-108" windowWidth="19416" windowHeight="11016" activeTab="4" xr2:uid="{F4F6D6A5-07AF-4588-8D77-3205CAE94151}"/>
  </bookViews>
  <sheets>
    <sheet name="S1_221119" sheetId="1" r:id="rId1"/>
    <sheet name="S2_221119" sheetId="3" r:id="rId2"/>
    <sheet name="S3_221119" sheetId="5" r:id="rId3"/>
    <sheet name="S4_221119" sheetId="6" r:id="rId4"/>
    <sheet name="S5_221119" sheetId="7" r:id="rId5"/>
    <sheet name="Rechnu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7" l="1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D13" i="7"/>
  <c r="AE13" i="7"/>
  <c r="AF13" i="7"/>
  <c r="AG13" i="7"/>
  <c r="AG14" i="7" s="1"/>
  <c r="AH13" i="7"/>
  <c r="AI13" i="7"/>
  <c r="AJ13" i="7"/>
  <c r="AJ14" i="7" s="1"/>
  <c r="AK13" i="7"/>
  <c r="AK14" i="7" s="1"/>
  <c r="AL13" i="7"/>
  <c r="AM13" i="7"/>
  <c r="AN13" i="7"/>
  <c r="AN14" i="7" s="1"/>
  <c r="AO13" i="7"/>
  <c r="AP13" i="7"/>
  <c r="AQ13" i="7"/>
  <c r="AR13" i="7"/>
  <c r="AR14" i="7" s="1"/>
  <c r="AS13" i="7"/>
  <c r="AT13" i="7"/>
  <c r="AT14" i="7"/>
  <c r="AL14" i="7"/>
  <c r="AS14" i="7"/>
  <c r="AQ14" i="7"/>
  <c r="AP14" i="7"/>
  <c r="AO14" i="7"/>
  <c r="AM14" i="7"/>
  <c r="AI14" i="7"/>
  <c r="AH14" i="7"/>
  <c r="AF14" i="7"/>
  <c r="AE14" i="7"/>
  <c r="AD14" i="7"/>
  <c r="AC13" i="7"/>
  <c r="AC14" i="7" s="1"/>
  <c r="AB13" i="7"/>
  <c r="AB14" i="7" s="1"/>
  <c r="AA13" i="7"/>
  <c r="AA14" i="7" s="1"/>
  <c r="Z13" i="7"/>
  <c r="Z14" i="7" s="1"/>
  <c r="Y13" i="7"/>
  <c r="Y14" i="7" s="1"/>
  <c r="X13" i="7"/>
  <c r="X14" i="7" s="1"/>
  <c r="W13" i="7"/>
  <c r="W14" i="7" s="1"/>
  <c r="V13" i="7"/>
  <c r="V14" i="7" s="1"/>
  <c r="U13" i="7"/>
  <c r="U14" i="7" s="1"/>
  <c r="T13" i="7"/>
  <c r="T14" i="7" s="1"/>
  <c r="S13" i="7"/>
  <c r="S14" i="7" s="1"/>
  <c r="R13" i="7"/>
  <c r="R14" i="7" s="1"/>
  <c r="Q13" i="7"/>
  <c r="Q14" i="7" s="1"/>
  <c r="P13" i="7"/>
  <c r="P14" i="7" s="1"/>
  <c r="O13" i="7"/>
  <c r="O14" i="7" s="1"/>
  <c r="N13" i="7"/>
  <c r="N14" i="7" s="1"/>
  <c r="M13" i="7"/>
  <c r="M14" i="7" s="1"/>
  <c r="L13" i="7"/>
  <c r="L14" i="7" s="1"/>
  <c r="K13" i="7"/>
  <c r="K14" i="7" s="1"/>
  <c r="J13" i="7"/>
  <c r="J14" i="7" s="1"/>
  <c r="I13" i="7"/>
  <c r="I14" i="7" s="1"/>
  <c r="H13" i="7"/>
  <c r="H14" i="7" s="1"/>
  <c r="G13" i="7"/>
  <c r="G14" i="7" s="1"/>
  <c r="F13" i="7"/>
  <c r="F14" i="7" s="1"/>
  <c r="E13" i="7"/>
  <c r="E14" i="7" s="1"/>
  <c r="D13" i="7"/>
  <c r="D14" i="7" s="1"/>
  <c r="C13" i="7"/>
  <c r="C14" i="7" s="1"/>
  <c r="B13" i="7"/>
  <c r="B14" i="7" s="1"/>
  <c r="B18" i="7" s="1"/>
  <c r="AS14" i="6"/>
  <c r="AS18" i="6" s="1"/>
  <c r="AO14" i="6"/>
  <c r="AO18" i="6" s="1"/>
  <c r="AK14" i="6"/>
  <c r="AK18" i="6" s="1"/>
  <c r="AG14" i="6"/>
  <c r="AG18" i="6" s="1"/>
  <c r="AT13" i="6"/>
  <c r="AT14" i="6" s="1"/>
  <c r="AT18" i="6" s="1"/>
  <c r="AS13" i="6"/>
  <c r="AR13" i="6"/>
  <c r="AR14" i="6" s="1"/>
  <c r="AR18" i="6" s="1"/>
  <c r="AQ13" i="6"/>
  <c r="AQ14" i="6" s="1"/>
  <c r="AQ18" i="6" s="1"/>
  <c r="AP13" i="6"/>
  <c r="AP14" i="6" s="1"/>
  <c r="AP18" i="6" s="1"/>
  <c r="AO13" i="6"/>
  <c r="AN13" i="6"/>
  <c r="AN14" i="6" s="1"/>
  <c r="AN18" i="6" s="1"/>
  <c r="AM13" i="6"/>
  <c r="AM14" i="6" s="1"/>
  <c r="AM18" i="6" s="1"/>
  <c r="AL13" i="6"/>
  <c r="AL14" i="6" s="1"/>
  <c r="AL18" i="6" s="1"/>
  <c r="AK13" i="6"/>
  <c r="AJ13" i="6"/>
  <c r="AJ14" i="6" s="1"/>
  <c r="AJ18" i="6" s="1"/>
  <c r="AI13" i="6"/>
  <c r="AI14" i="6" s="1"/>
  <c r="AI18" i="6" s="1"/>
  <c r="AH13" i="6"/>
  <c r="AH14" i="6" s="1"/>
  <c r="AH18" i="6" s="1"/>
  <c r="AG13" i="6"/>
  <c r="AF13" i="6"/>
  <c r="AF14" i="6" s="1"/>
  <c r="AF18" i="6" s="1"/>
  <c r="AE13" i="6"/>
  <c r="AE14" i="6" s="1"/>
  <c r="AE18" i="6" s="1"/>
  <c r="AD13" i="6"/>
  <c r="AD14" i="6" s="1"/>
  <c r="AD18" i="6" s="1"/>
  <c r="AC13" i="6"/>
  <c r="AC14" i="6" s="1"/>
  <c r="AC18" i="6" s="1"/>
  <c r="AB13" i="6"/>
  <c r="AB14" i="6" s="1"/>
  <c r="AB18" i="6" s="1"/>
  <c r="AA13" i="6"/>
  <c r="AA14" i="6" s="1"/>
  <c r="AA18" i="6" s="1"/>
  <c r="Z13" i="6"/>
  <c r="Z14" i="6" s="1"/>
  <c r="Z18" i="6" s="1"/>
  <c r="Y13" i="6"/>
  <c r="Y14" i="6" s="1"/>
  <c r="Y18" i="6" s="1"/>
  <c r="X13" i="6"/>
  <c r="X14" i="6" s="1"/>
  <c r="X18" i="6" s="1"/>
  <c r="W13" i="6"/>
  <c r="W14" i="6" s="1"/>
  <c r="W18" i="6" s="1"/>
  <c r="V13" i="6"/>
  <c r="V14" i="6" s="1"/>
  <c r="V18" i="6" s="1"/>
  <c r="U13" i="6"/>
  <c r="U14" i="6" s="1"/>
  <c r="U18" i="6" s="1"/>
  <c r="T13" i="6"/>
  <c r="T14" i="6" s="1"/>
  <c r="T18" i="6" s="1"/>
  <c r="S13" i="6"/>
  <c r="S14" i="6" s="1"/>
  <c r="S18" i="6" s="1"/>
  <c r="R13" i="6"/>
  <c r="R14" i="6" s="1"/>
  <c r="R18" i="6" s="1"/>
  <c r="Q13" i="6"/>
  <c r="Q14" i="6" s="1"/>
  <c r="Q18" i="6" s="1"/>
  <c r="P13" i="6"/>
  <c r="P14" i="6" s="1"/>
  <c r="P18" i="6" s="1"/>
  <c r="O13" i="6"/>
  <c r="O14" i="6" s="1"/>
  <c r="O18" i="6" s="1"/>
  <c r="N13" i="6"/>
  <c r="N14" i="6" s="1"/>
  <c r="N18" i="6" s="1"/>
  <c r="M13" i="6"/>
  <c r="M14" i="6" s="1"/>
  <c r="M18" i="6" s="1"/>
  <c r="L13" i="6"/>
  <c r="L14" i="6" s="1"/>
  <c r="L18" i="6" s="1"/>
  <c r="K13" i="6"/>
  <c r="K14" i="6" s="1"/>
  <c r="K18" i="6" s="1"/>
  <c r="J13" i="6"/>
  <c r="J14" i="6" s="1"/>
  <c r="J18" i="6" s="1"/>
  <c r="I13" i="6"/>
  <c r="I14" i="6" s="1"/>
  <c r="I18" i="6" s="1"/>
  <c r="H13" i="6"/>
  <c r="H14" i="6" s="1"/>
  <c r="H18" i="6" s="1"/>
  <c r="G13" i="6"/>
  <c r="G14" i="6" s="1"/>
  <c r="G18" i="6" s="1"/>
  <c r="F13" i="6"/>
  <c r="F14" i="6" s="1"/>
  <c r="F18" i="6" s="1"/>
  <c r="E13" i="6"/>
  <c r="E14" i="6" s="1"/>
  <c r="E18" i="6" s="1"/>
  <c r="D13" i="6"/>
  <c r="D14" i="6" s="1"/>
  <c r="D18" i="6" s="1"/>
  <c r="C13" i="6"/>
  <c r="C14" i="6" s="1"/>
  <c r="C18" i="6" s="1"/>
  <c r="B13" i="6"/>
  <c r="B14" i="6" s="1"/>
  <c r="B18" i="6" s="1"/>
  <c r="AQ14" i="5"/>
  <c r="AQ18" i="5" s="1"/>
  <c r="AM14" i="5"/>
  <c r="AM18" i="5" s="1"/>
  <c r="AT13" i="5"/>
  <c r="AT14" i="5" s="1"/>
  <c r="AT18" i="5" s="1"/>
  <c r="AS13" i="5"/>
  <c r="AS14" i="5" s="1"/>
  <c r="AS18" i="5" s="1"/>
  <c r="AR13" i="5"/>
  <c r="AR14" i="5" s="1"/>
  <c r="AR18" i="5" s="1"/>
  <c r="AQ13" i="5"/>
  <c r="AP13" i="5"/>
  <c r="AP14" i="5" s="1"/>
  <c r="AP18" i="5" s="1"/>
  <c r="AO13" i="5"/>
  <c r="AO14" i="5" s="1"/>
  <c r="AO18" i="5" s="1"/>
  <c r="AN13" i="5"/>
  <c r="AN14" i="5" s="1"/>
  <c r="AN18" i="5" s="1"/>
  <c r="AM13" i="5"/>
  <c r="AL13" i="5"/>
  <c r="AL14" i="5" s="1"/>
  <c r="AL18" i="5" s="1"/>
  <c r="AK13" i="5"/>
  <c r="AK14" i="5" s="1"/>
  <c r="AK18" i="5" s="1"/>
  <c r="AJ13" i="5"/>
  <c r="AJ14" i="5" s="1"/>
  <c r="AJ18" i="5" s="1"/>
  <c r="AI13" i="5"/>
  <c r="AI14" i="5" s="1"/>
  <c r="AI18" i="5" s="1"/>
  <c r="AH13" i="5"/>
  <c r="AH14" i="5" s="1"/>
  <c r="AH18" i="5" s="1"/>
  <c r="AG13" i="5"/>
  <c r="AG14" i="5" s="1"/>
  <c r="AG18" i="5" s="1"/>
  <c r="AF13" i="5"/>
  <c r="AF14" i="5" s="1"/>
  <c r="AF18" i="5" s="1"/>
  <c r="AE13" i="5"/>
  <c r="AE14" i="5" s="1"/>
  <c r="AE18" i="5" s="1"/>
  <c r="AD13" i="5"/>
  <c r="AD14" i="5" s="1"/>
  <c r="AD18" i="5" s="1"/>
  <c r="AC13" i="5"/>
  <c r="AC14" i="5" s="1"/>
  <c r="AC18" i="5" s="1"/>
  <c r="AB13" i="5"/>
  <c r="AB14" i="5" s="1"/>
  <c r="AB18" i="5" s="1"/>
  <c r="AA13" i="5"/>
  <c r="AA14" i="5" s="1"/>
  <c r="AA18" i="5" s="1"/>
  <c r="Z13" i="5"/>
  <c r="Z14" i="5" s="1"/>
  <c r="Z18" i="5" s="1"/>
  <c r="Y13" i="5"/>
  <c r="Y14" i="5" s="1"/>
  <c r="Y18" i="5" s="1"/>
  <c r="X13" i="5"/>
  <c r="X14" i="5" s="1"/>
  <c r="X18" i="5" s="1"/>
  <c r="W13" i="5"/>
  <c r="W14" i="5" s="1"/>
  <c r="W18" i="5" s="1"/>
  <c r="V13" i="5"/>
  <c r="V14" i="5" s="1"/>
  <c r="V18" i="5" s="1"/>
  <c r="U13" i="5"/>
  <c r="U14" i="5" s="1"/>
  <c r="U18" i="5" s="1"/>
  <c r="T13" i="5"/>
  <c r="T14" i="5" s="1"/>
  <c r="T18" i="5" s="1"/>
  <c r="S13" i="5"/>
  <c r="S14" i="5" s="1"/>
  <c r="S18" i="5" s="1"/>
  <c r="R13" i="5"/>
  <c r="R14" i="5" s="1"/>
  <c r="R18" i="5" s="1"/>
  <c r="Q13" i="5"/>
  <c r="Q14" i="5" s="1"/>
  <c r="Q18" i="5" s="1"/>
  <c r="P13" i="5"/>
  <c r="P14" i="5" s="1"/>
  <c r="P18" i="5" s="1"/>
  <c r="O13" i="5"/>
  <c r="O14" i="5" s="1"/>
  <c r="O18" i="5" s="1"/>
  <c r="N13" i="5"/>
  <c r="N14" i="5" s="1"/>
  <c r="N18" i="5" s="1"/>
  <c r="M13" i="5"/>
  <c r="M14" i="5" s="1"/>
  <c r="M18" i="5" s="1"/>
  <c r="L13" i="5"/>
  <c r="L14" i="5" s="1"/>
  <c r="L18" i="5" s="1"/>
  <c r="K13" i="5"/>
  <c r="K14" i="5" s="1"/>
  <c r="K18" i="5" s="1"/>
  <c r="J13" i="5"/>
  <c r="J14" i="5" s="1"/>
  <c r="J18" i="5" s="1"/>
  <c r="I13" i="5"/>
  <c r="I14" i="5" s="1"/>
  <c r="I18" i="5" s="1"/>
  <c r="H13" i="5"/>
  <c r="H14" i="5" s="1"/>
  <c r="H18" i="5" s="1"/>
  <c r="G13" i="5"/>
  <c r="G14" i="5" s="1"/>
  <c r="G18" i="5" s="1"/>
  <c r="F13" i="5"/>
  <c r="F14" i="5" s="1"/>
  <c r="F18" i="5" s="1"/>
  <c r="E13" i="5"/>
  <c r="E14" i="5" s="1"/>
  <c r="E18" i="5" s="1"/>
  <c r="D13" i="5"/>
  <c r="D14" i="5" s="1"/>
  <c r="D18" i="5" s="1"/>
  <c r="C13" i="5"/>
  <c r="C14" i="5" s="1"/>
  <c r="C18" i="5" s="1"/>
  <c r="B13" i="5"/>
  <c r="B14" i="5" s="1"/>
  <c r="B18" i="5" s="1"/>
  <c r="AS14" i="3"/>
  <c r="AS18" i="3" s="1"/>
  <c r="AO14" i="3"/>
  <c r="AO18" i="3" s="1"/>
  <c r="AK14" i="3"/>
  <c r="AK18" i="3" s="1"/>
  <c r="AG14" i="3"/>
  <c r="AG18" i="3" s="1"/>
  <c r="AT13" i="3"/>
  <c r="AT14" i="3" s="1"/>
  <c r="AT18" i="3" s="1"/>
  <c r="AS13" i="3"/>
  <c r="AR13" i="3"/>
  <c r="AR14" i="3" s="1"/>
  <c r="AR18" i="3" s="1"/>
  <c r="AQ13" i="3"/>
  <c r="AQ14" i="3" s="1"/>
  <c r="AQ18" i="3" s="1"/>
  <c r="AP13" i="3"/>
  <c r="AP14" i="3" s="1"/>
  <c r="AP18" i="3" s="1"/>
  <c r="AO13" i="3"/>
  <c r="AN13" i="3"/>
  <c r="AN14" i="3" s="1"/>
  <c r="AN18" i="3" s="1"/>
  <c r="AM13" i="3"/>
  <c r="AM14" i="3" s="1"/>
  <c r="AM18" i="3" s="1"/>
  <c r="AL13" i="3"/>
  <c r="AL14" i="3" s="1"/>
  <c r="AL18" i="3" s="1"/>
  <c r="AK13" i="3"/>
  <c r="AJ13" i="3"/>
  <c r="AJ14" i="3" s="1"/>
  <c r="AJ18" i="3" s="1"/>
  <c r="AI13" i="3"/>
  <c r="AI14" i="3" s="1"/>
  <c r="AI18" i="3" s="1"/>
  <c r="AH13" i="3"/>
  <c r="AH14" i="3" s="1"/>
  <c r="AH18" i="3" s="1"/>
  <c r="AG13" i="3"/>
  <c r="AF13" i="3"/>
  <c r="AF14" i="3" s="1"/>
  <c r="AF18" i="3" s="1"/>
  <c r="AE13" i="3"/>
  <c r="AE14" i="3" s="1"/>
  <c r="AE18" i="3" s="1"/>
  <c r="AD13" i="3"/>
  <c r="AD14" i="3" s="1"/>
  <c r="AD18" i="3" s="1"/>
  <c r="AC13" i="3"/>
  <c r="AC14" i="3" s="1"/>
  <c r="AC18" i="3" s="1"/>
  <c r="AB13" i="3"/>
  <c r="AB14" i="3" s="1"/>
  <c r="AB18" i="3" s="1"/>
  <c r="AA13" i="3"/>
  <c r="AA14" i="3" s="1"/>
  <c r="AA18" i="3" s="1"/>
  <c r="Z13" i="3"/>
  <c r="Z14" i="3" s="1"/>
  <c r="Z18" i="3" s="1"/>
  <c r="Y13" i="3"/>
  <c r="Y14" i="3" s="1"/>
  <c r="Y18" i="3" s="1"/>
  <c r="X13" i="3"/>
  <c r="X14" i="3" s="1"/>
  <c r="X18" i="3" s="1"/>
  <c r="W13" i="3"/>
  <c r="W14" i="3" s="1"/>
  <c r="W18" i="3" s="1"/>
  <c r="V13" i="3"/>
  <c r="V14" i="3" s="1"/>
  <c r="V18" i="3" s="1"/>
  <c r="U13" i="3"/>
  <c r="U14" i="3" s="1"/>
  <c r="U18" i="3" s="1"/>
  <c r="T13" i="3"/>
  <c r="T14" i="3" s="1"/>
  <c r="T18" i="3" s="1"/>
  <c r="S13" i="3"/>
  <c r="S14" i="3" s="1"/>
  <c r="S18" i="3" s="1"/>
  <c r="R13" i="3"/>
  <c r="R14" i="3" s="1"/>
  <c r="R18" i="3" s="1"/>
  <c r="Q13" i="3"/>
  <c r="Q14" i="3" s="1"/>
  <c r="Q18" i="3" s="1"/>
  <c r="P13" i="3"/>
  <c r="P14" i="3" s="1"/>
  <c r="P18" i="3" s="1"/>
  <c r="O13" i="3"/>
  <c r="O14" i="3" s="1"/>
  <c r="O18" i="3" s="1"/>
  <c r="N13" i="3"/>
  <c r="N14" i="3" s="1"/>
  <c r="N18" i="3" s="1"/>
  <c r="M13" i="3"/>
  <c r="M14" i="3" s="1"/>
  <c r="M18" i="3" s="1"/>
  <c r="L13" i="3"/>
  <c r="L14" i="3" s="1"/>
  <c r="L18" i="3" s="1"/>
  <c r="K13" i="3"/>
  <c r="K14" i="3" s="1"/>
  <c r="K18" i="3" s="1"/>
  <c r="J13" i="3"/>
  <c r="J14" i="3" s="1"/>
  <c r="J18" i="3" s="1"/>
  <c r="I13" i="3"/>
  <c r="I14" i="3" s="1"/>
  <c r="I18" i="3" s="1"/>
  <c r="H13" i="3"/>
  <c r="H14" i="3" s="1"/>
  <c r="H18" i="3" s="1"/>
  <c r="G13" i="3"/>
  <c r="G14" i="3" s="1"/>
  <c r="G18" i="3" s="1"/>
  <c r="F13" i="3"/>
  <c r="F14" i="3" s="1"/>
  <c r="F18" i="3" s="1"/>
  <c r="E13" i="3"/>
  <c r="E14" i="3" s="1"/>
  <c r="E18" i="3" s="1"/>
  <c r="D13" i="3"/>
  <c r="D14" i="3" s="1"/>
  <c r="D18" i="3" s="1"/>
  <c r="C13" i="3"/>
  <c r="C14" i="3" s="1"/>
  <c r="C18" i="3" s="1"/>
  <c r="B13" i="3"/>
  <c r="B14" i="3" s="1"/>
  <c r="B18" i="3" s="1"/>
  <c r="H13" i="1"/>
  <c r="H14" i="1" s="1"/>
  <c r="H18" i="1" s="1"/>
  <c r="I13" i="1"/>
  <c r="I14" i="1" s="1"/>
  <c r="I18" i="1" s="1"/>
  <c r="J13" i="1"/>
  <c r="J14" i="1" s="1"/>
  <c r="J18" i="1" s="1"/>
  <c r="K13" i="1"/>
  <c r="K14" i="1" s="1"/>
  <c r="K18" i="1" s="1"/>
  <c r="L13" i="1"/>
  <c r="L14" i="1" s="1"/>
  <c r="L18" i="1" s="1"/>
  <c r="M13" i="1"/>
  <c r="M14" i="1" s="1"/>
  <c r="M18" i="1" s="1"/>
  <c r="N13" i="1"/>
  <c r="N14" i="1" s="1"/>
  <c r="N18" i="1" s="1"/>
  <c r="O13" i="1"/>
  <c r="O14" i="1" s="1"/>
  <c r="O18" i="1" s="1"/>
  <c r="P13" i="1"/>
  <c r="P14" i="1" s="1"/>
  <c r="P18" i="1" s="1"/>
  <c r="Q13" i="1"/>
  <c r="Q14" i="1" s="1"/>
  <c r="Q18" i="1" s="1"/>
  <c r="R13" i="1"/>
  <c r="R14" i="1" s="1"/>
  <c r="R18" i="1" s="1"/>
  <c r="S13" i="1"/>
  <c r="S14" i="1" s="1"/>
  <c r="S18" i="1" s="1"/>
  <c r="T13" i="1"/>
  <c r="T14" i="1" s="1"/>
  <c r="T18" i="1" s="1"/>
  <c r="U13" i="1"/>
  <c r="U14" i="1" s="1"/>
  <c r="U18" i="1" s="1"/>
  <c r="V13" i="1"/>
  <c r="V14" i="1" s="1"/>
  <c r="V18" i="1" s="1"/>
  <c r="W13" i="1"/>
  <c r="W14" i="1" s="1"/>
  <c r="W18" i="1" s="1"/>
  <c r="X13" i="1"/>
  <c r="X14" i="1" s="1"/>
  <c r="X18" i="1" s="1"/>
  <c r="Y13" i="1"/>
  <c r="Y14" i="1" s="1"/>
  <c r="Y18" i="1" s="1"/>
  <c r="Z13" i="1"/>
  <c r="Z14" i="1" s="1"/>
  <c r="Z18" i="1" s="1"/>
  <c r="AA13" i="1"/>
  <c r="AA14" i="1" s="1"/>
  <c r="AA18" i="1" s="1"/>
  <c r="AB13" i="1"/>
  <c r="AB14" i="1" s="1"/>
  <c r="AB18" i="1" s="1"/>
  <c r="AC13" i="1"/>
  <c r="AC14" i="1" s="1"/>
  <c r="AC18" i="1" s="1"/>
  <c r="AD13" i="1"/>
  <c r="AD14" i="1" s="1"/>
  <c r="AD18" i="1" s="1"/>
  <c r="AE13" i="1"/>
  <c r="AE14" i="1" s="1"/>
  <c r="AE18" i="1" s="1"/>
  <c r="AF13" i="1"/>
  <c r="AF14" i="1" s="1"/>
  <c r="AF18" i="1" s="1"/>
  <c r="AG13" i="1"/>
  <c r="AG14" i="1" s="1"/>
  <c r="AG18" i="1" s="1"/>
  <c r="AH13" i="1"/>
  <c r="AH14" i="1" s="1"/>
  <c r="AH18" i="1" s="1"/>
  <c r="AI13" i="1"/>
  <c r="AI14" i="1" s="1"/>
  <c r="AI18" i="1" s="1"/>
  <c r="AJ13" i="1"/>
  <c r="AJ14" i="1" s="1"/>
  <c r="AJ18" i="1" s="1"/>
  <c r="AK13" i="1"/>
  <c r="AK14" i="1" s="1"/>
  <c r="AK18" i="1" s="1"/>
  <c r="AL13" i="1"/>
  <c r="AL14" i="1" s="1"/>
  <c r="AL18" i="1" s="1"/>
  <c r="AM13" i="1"/>
  <c r="AM14" i="1" s="1"/>
  <c r="AM18" i="1" s="1"/>
  <c r="AN13" i="1"/>
  <c r="AN14" i="1" s="1"/>
  <c r="AN18" i="1" s="1"/>
  <c r="AO13" i="1"/>
  <c r="AO14" i="1" s="1"/>
  <c r="AO18" i="1" s="1"/>
  <c r="AP13" i="1"/>
  <c r="AP14" i="1" s="1"/>
  <c r="AP18" i="1" s="1"/>
  <c r="AQ13" i="1"/>
  <c r="AQ14" i="1" s="1"/>
  <c r="AQ18" i="1" s="1"/>
  <c r="AR13" i="1"/>
  <c r="AR14" i="1" s="1"/>
  <c r="AR18" i="1" s="1"/>
  <c r="AS13" i="1"/>
  <c r="AS14" i="1" s="1"/>
  <c r="AS18" i="1" s="1"/>
  <c r="AT13" i="1"/>
  <c r="AT14" i="1" s="1"/>
  <c r="AT18" i="1" s="1"/>
  <c r="C13" i="1"/>
  <c r="C14" i="1" s="1"/>
  <c r="C18" i="1" s="1"/>
  <c r="D13" i="1"/>
  <c r="D14" i="1" s="1"/>
  <c r="D18" i="1" s="1"/>
  <c r="E13" i="1"/>
  <c r="E14" i="1" s="1"/>
  <c r="E18" i="1" s="1"/>
  <c r="F13" i="1"/>
  <c r="F14" i="1" s="1"/>
  <c r="F18" i="1" s="1"/>
  <c r="G13" i="1"/>
  <c r="G14" i="1" s="1"/>
  <c r="G18" i="1" s="1"/>
  <c r="B13" i="1"/>
  <c r="B14" i="1" s="1"/>
  <c r="B18" i="1" s="1"/>
  <c r="B21" i="6" l="1"/>
  <c r="B21" i="5"/>
  <c r="B21" i="1"/>
  <c r="B21" i="3"/>
</calcChain>
</file>

<file path=xl/sharedStrings.xml><?xml version="1.0" encoding="utf-8"?>
<sst xmlns="http://schemas.openxmlformats.org/spreadsheetml/2006/main" count="75" uniqueCount="19">
  <si>
    <t>S1</t>
  </si>
  <si>
    <t>Flussabschnitt (cm):</t>
  </si>
  <si>
    <t>ges. Breite (m):</t>
  </si>
  <si>
    <t>(Umdrehungen in 30s)</t>
  </si>
  <si>
    <t>(v= 0.2520*n + 0.006)</t>
  </si>
  <si>
    <t>(=v*A)</t>
  </si>
  <si>
    <t>Abstand (m):</t>
  </si>
  <si>
    <t>Start (m):</t>
  </si>
  <si>
    <t>Flusstiefe (cm):</t>
  </si>
  <si>
    <t>Messtiefe (cm):</t>
  </si>
  <si>
    <t>gemessener Wert :</t>
  </si>
  <si>
    <t>Drehzahl n (Umdrehungen pro Sek):</t>
  </si>
  <si>
    <t>Geschwindigkeit (m/s):</t>
  </si>
  <si>
    <t>Abfluss im 0.5m Abstand (m^3/s):</t>
  </si>
  <si>
    <t>ges. Abfluss (m^3/s):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</si>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</sst>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0" fontId="3" fillId="2" borderId="1" xfId="0" applyFont="1" applyFill="1" applyBorder="1"/>
    <xf numFmtId="14" fontId="3" fillId="2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15241</xdr:colOff>
      <xdr:row>0</xdr:row>
      <xdr:rowOff>175260</xdr:rowOff>
    </xdr:from>
    <xdr:to>
      <xdr:col>11</xdr:col>
      <xdr:colOff>686881</xdr:colOff>
      <xdr:row>15</xdr:row>
      <xdr:rowOff>91440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86CF147-8B2C-4A84-A22E-C58641966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004" t="42583" r="27391" b="2210"/>
        <a:stretch/>
      </xdr:blipFill>
      <xdr:spPr>
        <a:xfrm>
          <a:off x="6355081" y="175260"/>
          <a:ext cx="3049080" cy="26593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</xdr:row>
      <xdr:rowOff>15240</xdr:rowOff>
    </xdr:from>
    <xdr:to>
      <xdr:col>7</xdr:col>
      <xdr:colOff>251459</xdr:colOff>
      <xdr:row>18</xdr:row>
      <xdr:rowOff>121920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D44E4FD-7169-405A-91B8-B7A9E15D4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53" t="25959" r="40343" b="36525"/>
        <a:stretch/>
      </xdr:blipFill>
      <xdr:spPr>
        <a:xfrm>
          <a:off x="815340" y="198120"/>
          <a:ext cx="4983479" cy="3215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C763-8B32-44E2-9A55-15DE8AE55CC1}">
  <dimension ref="A1:AT21"/>
  <sheetViews>
    <sheetView workbookViewId="0">
      <selection activeCell="D21" sqref="D21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0</v>
      </c>
      <c r="B1" s="7">
        <v>43791</v>
      </c>
    </row>
    <row r="3" spans="1:46" x14ac:dyDescent="0.3">
      <c r="A3" s="1" t="s">
        <v>2</v>
      </c>
      <c r="B3" s="2">
        <v>16</v>
      </c>
    </row>
    <row r="4" spans="1:46" x14ac:dyDescent="0.3">
      <c r="A4" s="1" t="s">
        <v>7</v>
      </c>
      <c r="B4" s="2">
        <v>1.5</v>
      </c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>
        <v>42</v>
      </c>
      <c r="C8" s="2">
        <v>30</v>
      </c>
      <c r="D8" s="2">
        <v>38</v>
      </c>
      <c r="E8" s="2">
        <v>43</v>
      </c>
      <c r="F8" s="2">
        <v>38</v>
      </c>
      <c r="G8" s="2">
        <v>38</v>
      </c>
      <c r="H8" s="2">
        <v>38</v>
      </c>
      <c r="I8" s="2">
        <v>39</v>
      </c>
      <c r="J8" s="2">
        <v>36</v>
      </c>
      <c r="K8" s="2">
        <v>39</v>
      </c>
      <c r="L8" s="2">
        <v>40</v>
      </c>
      <c r="M8" s="2">
        <v>32</v>
      </c>
      <c r="N8" s="2">
        <v>35</v>
      </c>
      <c r="O8" s="2">
        <v>30</v>
      </c>
      <c r="P8" s="2">
        <v>36</v>
      </c>
      <c r="Q8" s="2">
        <v>35</v>
      </c>
      <c r="R8" s="2">
        <v>38</v>
      </c>
      <c r="S8" s="2">
        <v>42</v>
      </c>
      <c r="T8" s="2">
        <v>38</v>
      </c>
      <c r="U8" s="2">
        <v>38</v>
      </c>
      <c r="V8" s="2">
        <v>40</v>
      </c>
      <c r="W8" s="2">
        <v>40</v>
      </c>
      <c r="X8" s="2">
        <v>35</v>
      </c>
      <c r="Y8" s="2">
        <v>33</v>
      </c>
      <c r="Z8" s="2">
        <v>31</v>
      </c>
      <c r="AA8" s="2">
        <v>18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>
        <v>17</v>
      </c>
      <c r="C9" s="2">
        <v>12</v>
      </c>
      <c r="D9" s="2">
        <v>15</v>
      </c>
      <c r="E9" s="2">
        <v>17</v>
      </c>
      <c r="F9" s="2">
        <v>15</v>
      </c>
      <c r="G9" s="2">
        <v>15</v>
      </c>
      <c r="H9" s="2">
        <v>15</v>
      </c>
      <c r="I9" s="2">
        <v>15</v>
      </c>
      <c r="J9" s="2">
        <v>14</v>
      </c>
      <c r="K9" s="2">
        <v>16</v>
      </c>
      <c r="L9" s="2">
        <v>16</v>
      </c>
      <c r="M9" s="2">
        <v>13</v>
      </c>
      <c r="N9" s="2">
        <v>14</v>
      </c>
      <c r="O9" s="2">
        <v>12</v>
      </c>
      <c r="P9" s="2">
        <v>14</v>
      </c>
      <c r="Q9" s="2">
        <v>14</v>
      </c>
      <c r="R9" s="2">
        <v>15</v>
      </c>
      <c r="S9" s="2">
        <v>17</v>
      </c>
      <c r="T9" s="2">
        <v>15</v>
      </c>
      <c r="U9" s="2">
        <v>15</v>
      </c>
      <c r="V9" s="2">
        <v>16</v>
      </c>
      <c r="W9" s="2">
        <v>16</v>
      </c>
      <c r="X9" s="2">
        <v>14</v>
      </c>
      <c r="Y9" s="2">
        <v>13</v>
      </c>
      <c r="Z9" s="2">
        <v>12</v>
      </c>
      <c r="AA9" s="2">
        <v>7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>
        <v>48</v>
      </c>
      <c r="C10" s="2">
        <v>69</v>
      </c>
      <c r="D10" s="2">
        <v>62</v>
      </c>
      <c r="E10" s="2">
        <v>60</v>
      </c>
      <c r="F10" s="2">
        <v>48</v>
      </c>
      <c r="G10" s="2">
        <v>56</v>
      </c>
      <c r="H10" s="2">
        <v>51</v>
      </c>
      <c r="I10" s="2">
        <v>55</v>
      </c>
      <c r="J10" s="2">
        <v>51</v>
      </c>
      <c r="K10" s="2">
        <v>59</v>
      </c>
      <c r="L10" s="2">
        <v>51</v>
      </c>
      <c r="M10" s="2">
        <v>51</v>
      </c>
      <c r="N10" s="2">
        <v>70</v>
      </c>
      <c r="O10" s="2">
        <v>35</v>
      </c>
      <c r="P10" s="2">
        <v>49</v>
      </c>
      <c r="Q10" s="2">
        <v>43</v>
      </c>
      <c r="R10" s="2">
        <v>37</v>
      </c>
      <c r="S10" s="2">
        <v>30</v>
      </c>
      <c r="T10" s="2">
        <v>49</v>
      </c>
      <c r="U10" s="2">
        <v>29</v>
      </c>
      <c r="V10" s="2">
        <v>27</v>
      </c>
      <c r="W10" s="2">
        <v>27</v>
      </c>
      <c r="X10" s="2">
        <v>27</v>
      </c>
      <c r="Y10" s="2">
        <v>24</v>
      </c>
      <c r="Z10" s="2">
        <v>24</v>
      </c>
      <c r="AA10" s="2">
        <v>34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1.6</v>
      </c>
      <c r="C13" s="3">
        <f>C10/30</f>
        <v>2.2999999999999998</v>
      </c>
      <c r="D13" s="3">
        <f>D10/30</f>
        <v>2.0666666666666669</v>
      </c>
      <c r="E13" s="3">
        <f>E10/30</f>
        <v>2</v>
      </c>
      <c r="F13" s="3">
        <f>F10/30</f>
        <v>1.6</v>
      </c>
      <c r="G13" s="3">
        <f>G10/30</f>
        <v>1.8666666666666667</v>
      </c>
      <c r="H13" s="3">
        <f>H10/30</f>
        <v>1.7</v>
      </c>
      <c r="I13" s="3">
        <f>I10/30</f>
        <v>1.8333333333333333</v>
      </c>
      <c r="J13" s="3">
        <f>J10/30</f>
        <v>1.7</v>
      </c>
      <c r="K13" s="3">
        <f>K10/30</f>
        <v>1.9666666666666666</v>
      </c>
      <c r="L13" s="3">
        <f>L10/30</f>
        <v>1.7</v>
      </c>
      <c r="M13" s="3">
        <f>M10/30</f>
        <v>1.7</v>
      </c>
      <c r="N13" s="3">
        <f>N10/30</f>
        <v>2.3333333333333335</v>
      </c>
      <c r="O13" s="3">
        <f>O10/30</f>
        <v>1.1666666666666667</v>
      </c>
      <c r="P13" s="3">
        <f>P10/30</f>
        <v>1.6333333333333333</v>
      </c>
      <c r="Q13" s="3">
        <f>Q10/30</f>
        <v>1.4333333333333333</v>
      </c>
      <c r="R13" s="3">
        <f>R10/30</f>
        <v>1.2333333333333334</v>
      </c>
      <c r="S13" s="3">
        <f>S10/30</f>
        <v>1</v>
      </c>
      <c r="T13" s="3">
        <f>T10/30</f>
        <v>1.6333333333333333</v>
      </c>
      <c r="U13" s="3">
        <f>U10/30</f>
        <v>0.96666666666666667</v>
      </c>
      <c r="V13" s="3">
        <f>V10/30</f>
        <v>0.9</v>
      </c>
      <c r="W13" s="3">
        <f>W10/30</f>
        <v>0.9</v>
      </c>
      <c r="X13" s="3">
        <f>X10/30</f>
        <v>0.9</v>
      </c>
      <c r="Y13" s="3">
        <f>Y10/30</f>
        <v>0.8</v>
      </c>
      <c r="Z13" s="3">
        <f>Z10/30</f>
        <v>0.8</v>
      </c>
      <c r="AA13" s="3">
        <f>AA10/30</f>
        <v>1.1333333333333333</v>
      </c>
      <c r="AB13" s="3">
        <f>AB10/30</f>
        <v>0</v>
      </c>
      <c r="AC13" s="3">
        <f>AC10/30</f>
        <v>0</v>
      </c>
      <c r="AD13" s="3">
        <f t="shared" ref="AD13:AT13" si="0">AD10/30</f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0.40920000000000001</v>
      </c>
      <c r="C14" s="3">
        <f t="shared" ref="C14:G14" si="1" xml:space="preserve"> 0.252*C13 + 0.006</f>
        <v>0.58560000000000001</v>
      </c>
      <c r="D14" s="3">
        <f t="shared" si="1"/>
        <v>0.52680000000000005</v>
      </c>
      <c r="E14" s="3">
        <f t="shared" si="1"/>
        <v>0.51</v>
      </c>
      <c r="F14" s="3">
        <f t="shared" si="1"/>
        <v>0.40920000000000001</v>
      </c>
      <c r="G14" s="3">
        <f t="shared" si="1"/>
        <v>0.47639999999999999</v>
      </c>
      <c r="H14" s="3">
        <f t="shared" ref="H14" si="2" xml:space="preserve"> 0.252*H13 + 0.006</f>
        <v>0.43440000000000001</v>
      </c>
      <c r="I14" s="3">
        <f t="shared" ref="I14" si="3" xml:space="preserve"> 0.252*I13 + 0.006</f>
        <v>0.46799999999999997</v>
      </c>
      <c r="J14" s="3">
        <f t="shared" ref="J14" si="4" xml:space="preserve"> 0.252*J13 + 0.006</f>
        <v>0.43440000000000001</v>
      </c>
      <c r="K14" s="3">
        <f t="shared" ref="K14" si="5" xml:space="preserve"> 0.252*K13 + 0.006</f>
        <v>0.50159999999999993</v>
      </c>
      <c r="L14" s="3">
        <f t="shared" ref="L14" si="6" xml:space="preserve"> 0.252*L13 + 0.006</f>
        <v>0.43440000000000001</v>
      </c>
      <c r="M14" s="3">
        <f t="shared" ref="M14" si="7" xml:space="preserve"> 0.252*M13 + 0.006</f>
        <v>0.43440000000000001</v>
      </c>
      <c r="N14" s="3">
        <f t="shared" ref="N14" si="8" xml:space="preserve"> 0.252*N13 + 0.006</f>
        <v>0.59400000000000008</v>
      </c>
      <c r="O14" s="3">
        <f t="shared" ref="O14" si="9" xml:space="preserve"> 0.252*O13 + 0.006</f>
        <v>0.30000000000000004</v>
      </c>
      <c r="P14" s="3">
        <f t="shared" ref="P14" si="10" xml:space="preserve"> 0.252*P13 + 0.006</f>
        <v>0.41760000000000003</v>
      </c>
      <c r="Q14" s="3">
        <f t="shared" ref="Q14" si="11" xml:space="preserve"> 0.252*Q13 + 0.006</f>
        <v>0.36720000000000003</v>
      </c>
      <c r="R14" s="3">
        <f t="shared" ref="R14" si="12" xml:space="preserve"> 0.252*R13 + 0.006</f>
        <v>0.31680000000000003</v>
      </c>
      <c r="S14" s="3">
        <f t="shared" ref="S14" si="13" xml:space="preserve"> 0.252*S13 + 0.006</f>
        <v>0.25800000000000001</v>
      </c>
      <c r="T14" s="3">
        <f t="shared" ref="T14" si="14" xml:space="preserve"> 0.252*T13 + 0.006</f>
        <v>0.41760000000000003</v>
      </c>
      <c r="U14" s="3">
        <f t="shared" ref="U14" si="15" xml:space="preserve"> 0.252*U13 + 0.006</f>
        <v>0.24960000000000002</v>
      </c>
      <c r="V14" s="3">
        <f t="shared" ref="V14" si="16" xml:space="preserve"> 0.252*V13 + 0.006</f>
        <v>0.23280000000000001</v>
      </c>
      <c r="W14" s="3">
        <f t="shared" ref="W14" si="17" xml:space="preserve"> 0.252*W13 + 0.006</f>
        <v>0.23280000000000001</v>
      </c>
      <c r="X14" s="3">
        <f t="shared" ref="X14" si="18" xml:space="preserve"> 0.252*X13 + 0.006</f>
        <v>0.23280000000000001</v>
      </c>
      <c r="Y14" s="3">
        <f t="shared" ref="Y14" si="19" xml:space="preserve"> 0.252*Y13 + 0.006</f>
        <v>0.20760000000000001</v>
      </c>
      <c r="Z14" s="3">
        <f t="shared" ref="Z14" si="20" xml:space="preserve"> 0.252*Z13 + 0.006</f>
        <v>0.20760000000000001</v>
      </c>
      <c r="AA14" s="3">
        <f t="shared" ref="AA14" si="21" xml:space="preserve"> 0.252*AA13 + 0.006</f>
        <v>0.29160000000000003</v>
      </c>
      <c r="AB14" s="3">
        <f t="shared" ref="AB14" si="22" xml:space="preserve"> 0.252*AB13 + 0.006</f>
        <v>6.0000000000000001E-3</v>
      </c>
      <c r="AC14" s="3">
        <f t="shared" ref="AC14" si="23" xml:space="preserve"> 0.252*AC13 + 0.006</f>
        <v>6.0000000000000001E-3</v>
      </c>
      <c r="AD14" s="3">
        <f t="shared" ref="AD14" si="24" xml:space="preserve"> 0.252*AD13 + 0.006</f>
        <v>6.0000000000000001E-3</v>
      </c>
      <c r="AE14" s="3">
        <f t="shared" ref="AE14" si="25" xml:space="preserve"> 0.252*AE13 + 0.006</f>
        <v>6.0000000000000001E-3</v>
      </c>
      <c r="AF14" s="3">
        <f t="shared" ref="AF14" si="26" xml:space="preserve"> 0.252*AF13 + 0.006</f>
        <v>6.0000000000000001E-3</v>
      </c>
      <c r="AG14" s="3">
        <f t="shared" ref="AG14" si="27" xml:space="preserve"> 0.252*AG13 + 0.006</f>
        <v>6.0000000000000001E-3</v>
      </c>
      <c r="AH14" s="3">
        <f t="shared" ref="AH14" si="28" xml:space="preserve"> 0.252*AH13 + 0.006</f>
        <v>6.0000000000000001E-3</v>
      </c>
      <c r="AI14" s="3">
        <f t="shared" ref="AI14" si="29" xml:space="preserve"> 0.252*AI13 + 0.006</f>
        <v>6.0000000000000001E-3</v>
      </c>
      <c r="AJ14" s="3">
        <f t="shared" ref="AJ14" si="30" xml:space="preserve"> 0.252*AJ13 + 0.006</f>
        <v>6.0000000000000001E-3</v>
      </c>
      <c r="AK14" s="3">
        <f t="shared" ref="AK14" si="31" xml:space="preserve"> 0.252*AK13 + 0.006</f>
        <v>6.0000000000000001E-3</v>
      </c>
      <c r="AL14" s="3">
        <f t="shared" ref="AL14" si="32" xml:space="preserve"> 0.252*AL13 + 0.006</f>
        <v>6.0000000000000001E-3</v>
      </c>
      <c r="AM14" s="3">
        <f t="shared" ref="AM14" si="33" xml:space="preserve"> 0.252*AM13 + 0.006</f>
        <v>6.0000000000000001E-3</v>
      </c>
      <c r="AN14" s="3">
        <f t="shared" ref="AN14" si="34" xml:space="preserve"> 0.252*AN13 + 0.006</f>
        <v>6.0000000000000001E-3</v>
      </c>
      <c r="AO14" s="3">
        <f t="shared" ref="AO14" si="35" xml:space="preserve"> 0.252*AO13 + 0.006</f>
        <v>6.0000000000000001E-3</v>
      </c>
      <c r="AP14" s="3">
        <f t="shared" ref="AP14" si="36" xml:space="preserve"> 0.252*AP13 + 0.006</f>
        <v>6.0000000000000001E-3</v>
      </c>
      <c r="AQ14" s="3">
        <f t="shared" ref="AQ14" si="37" xml:space="preserve"> 0.252*AQ13 + 0.006</f>
        <v>6.0000000000000001E-3</v>
      </c>
      <c r="AR14" s="3">
        <f t="shared" ref="AR14" si="38" xml:space="preserve"> 0.252*AR13 + 0.006</f>
        <v>6.0000000000000001E-3</v>
      </c>
      <c r="AS14" s="3">
        <f t="shared" ref="AS14" si="39" xml:space="preserve"> 0.252*AS13 + 0.006</f>
        <v>6.0000000000000001E-3</v>
      </c>
      <c r="AT14" s="3">
        <f t="shared" ref="AT14" si="40" xml:space="preserve"> 0.252*AT13 + 0.006</f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8.5931999999999994E-2</v>
      </c>
      <c r="C18" s="3">
        <f>C14*$C$17*(C8/100)</f>
        <v>8.7840000000000001E-2</v>
      </c>
      <c r="D18" s="3">
        <f>D14*$C$17*(D8/100)</f>
        <v>0.10009200000000001</v>
      </c>
      <c r="E18" s="3">
        <f>E14*$C$17*(E8/100)</f>
        <v>0.10965</v>
      </c>
      <c r="F18" s="3">
        <f>F14*$C$17*(F8/100)</f>
        <v>7.7747999999999998E-2</v>
      </c>
      <c r="G18" s="3">
        <f>G14*$C$17*(G8/100)</f>
        <v>9.0515999999999999E-2</v>
      </c>
      <c r="H18" s="3">
        <f>H14*$C$17*(H8/100)</f>
        <v>8.2535999999999998E-2</v>
      </c>
      <c r="I18" s="3">
        <f>I14*$C$17*(I8/100)</f>
        <v>9.1259999999999994E-2</v>
      </c>
      <c r="J18" s="3">
        <f>J14*$C$17*(J8/100)</f>
        <v>7.8191999999999998E-2</v>
      </c>
      <c r="K18" s="3">
        <f>K14*$C$17*(K8/100)</f>
        <v>9.7811999999999996E-2</v>
      </c>
      <c r="L18" s="3">
        <f>L14*$C$17*(L8/100)</f>
        <v>8.6880000000000013E-2</v>
      </c>
      <c r="M18" s="3">
        <f>M14*$C$17*(M8/100)</f>
        <v>6.9503999999999996E-2</v>
      </c>
      <c r="N18" s="3">
        <f>N14*$C$17*(N8/100)</f>
        <v>0.10395000000000001</v>
      </c>
      <c r="O18" s="3">
        <f>O14*$C$17*(O8/100)</f>
        <v>4.5000000000000005E-2</v>
      </c>
      <c r="P18" s="3">
        <f>P14*$C$17*(P8/100)</f>
        <v>7.5167999999999999E-2</v>
      </c>
      <c r="Q18" s="3">
        <f>Q14*$C$17*(Q8/100)</f>
        <v>6.4259999999999998E-2</v>
      </c>
      <c r="R18" s="3">
        <f>R14*$C$17*(R8/100)</f>
        <v>6.0192000000000002E-2</v>
      </c>
      <c r="S18" s="3">
        <f>S14*$C$17*(S8/100)</f>
        <v>5.4179999999999999E-2</v>
      </c>
      <c r="T18" s="3">
        <f>T14*$C$17*(T8/100)</f>
        <v>7.9344000000000012E-2</v>
      </c>
      <c r="U18" s="3">
        <f>U14*$C$17*(U8/100)</f>
        <v>4.7424000000000001E-2</v>
      </c>
      <c r="V18" s="3">
        <f>V14*$C$17*(V8/100)</f>
        <v>4.6560000000000004E-2</v>
      </c>
      <c r="W18" s="3">
        <f>W14*$C$17*(W8/100)</f>
        <v>4.6560000000000004E-2</v>
      </c>
      <c r="X18" s="3">
        <f>X14*$C$17*(X8/100)</f>
        <v>4.0739999999999998E-2</v>
      </c>
      <c r="Y18" s="3">
        <f>Y14*$C$17*(Y8/100)</f>
        <v>3.4254E-2</v>
      </c>
      <c r="Z18" s="3">
        <f>Z14*$C$17*(Z8/100)</f>
        <v>3.2177999999999998E-2</v>
      </c>
      <c r="AA18" s="3">
        <f>AA14*$C$17*(AA8/100)</f>
        <v>2.6244E-2</v>
      </c>
      <c r="AB18" s="3">
        <f>AB14*$C$17*(AB8/100)</f>
        <v>0</v>
      </c>
      <c r="AC18" s="3">
        <f>AC14*$C$17*(AC8/100)</f>
        <v>0</v>
      </c>
      <c r="AD18" s="3">
        <f t="shared" ref="AD18:AT18" si="41">AD14*$C$17*(AD8/100)</f>
        <v>0</v>
      </c>
      <c r="AE18" s="3">
        <f t="shared" si="41"/>
        <v>0</v>
      </c>
      <c r="AF18" s="3">
        <f t="shared" si="41"/>
        <v>0</v>
      </c>
      <c r="AG18" s="3">
        <f t="shared" si="41"/>
        <v>0</v>
      </c>
      <c r="AH18" s="3">
        <f t="shared" si="41"/>
        <v>0</v>
      </c>
      <c r="AI18" s="3">
        <f t="shared" si="41"/>
        <v>0</v>
      </c>
      <c r="AJ18" s="3">
        <f t="shared" si="41"/>
        <v>0</v>
      </c>
      <c r="AK18" s="3">
        <f t="shared" si="41"/>
        <v>0</v>
      </c>
      <c r="AL18" s="3">
        <f t="shared" si="41"/>
        <v>0</v>
      </c>
      <c r="AM18" s="3">
        <f t="shared" si="41"/>
        <v>0</v>
      </c>
      <c r="AN18" s="3">
        <f t="shared" si="41"/>
        <v>0</v>
      </c>
      <c r="AO18" s="3">
        <f t="shared" si="41"/>
        <v>0</v>
      </c>
      <c r="AP18" s="3">
        <f t="shared" si="41"/>
        <v>0</v>
      </c>
      <c r="AQ18" s="3">
        <f t="shared" si="41"/>
        <v>0</v>
      </c>
      <c r="AR18" s="3">
        <f t="shared" si="41"/>
        <v>0</v>
      </c>
      <c r="AS18" s="3">
        <f t="shared" si="41"/>
        <v>0</v>
      </c>
      <c r="AT18" s="3">
        <f t="shared" si="41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1.8140159999999996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79E7-264A-4D1B-8DAE-969C74CEB543}">
  <dimension ref="A1:AT21"/>
  <sheetViews>
    <sheetView workbookViewId="0">
      <selection sqref="A1:XFD1048576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15</v>
      </c>
      <c r="B1" s="7">
        <v>43791</v>
      </c>
    </row>
    <row r="3" spans="1:46" x14ac:dyDescent="0.3">
      <c r="A3" s="1" t="s">
        <v>2</v>
      </c>
      <c r="B3" s="2">
        <v>14.5</v>
      </c>
    </row>
    <row r="4" spans="1:46" x14ac:dyDescent="0.3">
      <c r="A4" s="1" t="s">
        <v>7</v>
      </c>
      <c r="B4" s="2">
        <v>1</v>
      </c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/>
      <c r="C8" s="2">
        <v>20</v>
      </c>
      <c r="D8" s="2">
        <v>24</v>
      </c>
      <c r="E8" s="2">
        <v>25</v>
      </c>
      <c r="F8" s="2">
        <v>26</v>
      </c>
      <c r="G8" s="2">
        <v>28</v>
      </c>
      <c r="H8" s="2">
        <v>38</v>
      </c>
      <c r="I8" s="2">
        <v>38</v>
      </c>
      <c r="J8" s="2">
        <v>35</v>
      </c>
      <c r="K8" s="2">
        <v>40</v>
      </c>
      <c r="L8" s="2">
        <v>40</v>
      </c>
      <c r="M8" s="2">
        <v>40</v>
      </c>
      <c r="N8" s="2">
        <v>35</v>
      </c>
      <c r="O8" s="2">
        <v>38</v>
      </c>
      <c r="P8" s="2">
        <v>40</v>
      </c>
      <c r="Q8" s="2">
        <v>40</v>
      </c>
      <c r="R8" s="2">
        <v>38</v>
      </c>
      <c r="S8" s="2">
        <v>36</v>
      </c>
      <c r="T8" s="2">
        <v>38</v>
      </c>
      <c r="U8" s="2">
        <v>36</v>
      </c>
      <c r="V8" s="2">
        <v>36</v>
      </c>
      <c r="W8" s="2">
        <v>36</v>
      </c>
      <c r="X8" s="2">
        <v>30</v>
      </c>
      <c r="Y8" s="2">
        <v>30</v>
      </c>
      <c r="Z8" s="2">
        <v>28</v>
      </c>
      <c r="AA8" s="2">
        <v>25</v>
      </c>
      <c r="AB8" s="2">
        <v>23</v>
      </c>
      <c r="AC8" s="2">
        <v>20</v>
      </c>
      <c r="AD8" s="2">
        <v>18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/>
      <c r="C9" s="2">
        <v>8</v>
      </c>
      <c r="D9" s="2">
        <v>10</v>
      </c>
      <c r="E9" s="2">
        <v>10</v>
      </c>
      <c r="F9" s="2">
        <v>10</v>
      </c>
      <c r="G9" s="2">
        <v>11</v>
      </c>
      <c r="H9" s="2">
        <v>15</v>
      </c>
      <c r="I9" s="2">
        <v>15</v>
      </c>
      <c r="J9" s="2">
        <v>14</v>
      </c>
      <c r="K9" s="2">
        <v>16</v>
      </c>
      <c r="L9" s="2">
        <v>16</v>
      </c>
      <c r="M9" s="2">
        <v>16</v>
      </c>
      <c r="N9" s="2">
        <v>14</v>
      </c>
      <c r="O9" s="2">
        <v>15</v>
      </c>
      <c r="P9" s="2">
        <v>16</v>
      </c>
      <c r="Q9" s="2">
        <v>16</v>
      </c>
      <c r="R9" s="2">
        <v>15</v>
      </c>
      <c r="S9" s="2">
        <v>14</v>
      </c>
      <c r="T9" s="2">
        <v>15</v>
      </c>
      <c r="U9" s="2">
        <v>14</v>
      </c>
      <c r="V9" s="2">
        <v>14</v>
      </c>
      <c r="W9" s="2">
        <v>14</v>
      </c>
      <c r="X9" s="2">
        <v>12</v>
      </c>
      <c r="Y9" s="2">
        <v>12</v>
      </c>
      <c r="Z9" s="2">
        <v>11</v>
      </c>
      <c r="AA9" s="2">
        <v>10</v>
      </c>
      <c r="AB9" s="2">
        <v>9</v>
      </c>
      <c r="AC9" s="2">
        <v>8</v>
      </c>
      <c r="AD9" s="2">
        <v>7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/>
      <c r="C10" s="2">
        <v>49</v>
      </c>
      <c r="D10" s="2">
        <v>53</v>
      </c>
      <c r="E10" s="2">
        <v>64</v>
      </c>
      <c r="F10" s="2">
        <v>56</v>
      </c>
      <c r="G10" s="2">
        <v>50</v>
      </c>
      <c r="H10" s="2">
        <v>53</v>
      </c>
      <c r="I10" s="2">
        <v>61</v>
      </c>
      <c r="J10" s="2">
        <v>45</v>
      </c>
      <c r="K10" s="2">
        <v>41</v>
      </c>
      <c r="L10" s="2">
        <v>53</v>
      </c>
      <c r="M10" s="2">
        <v>56</v>
      </c>
      <c r="N10" s="2">
        <v>50</v>
      </c>
      <c r="O10" s="2">
        <v>52</v>
      </c>
      <c r="P10" s="2">
        <v>43</v>
      </c>
      <c r="Q10" s="2">
        <v>45</v>
      </c>
      <c r="R10" s="2">
        <v>56</v>
      </c>
      <c r="S10" s="2">
        <v>46</v>
      </c>
      <c r="T10" s="2">
        <v>53</v>
      </c>
      <c r="U10" s="2">
        <v>43</v>
      </c>
      <c r="V10" s="2">
        <v>45</v>
      </c>
      <c r="W10" s="2">
        <v>30</v>
      </c>
      <c r="X10" s="2">
        <v>45</v>
      </c>
      <c r="Y10" s="2">
        <v>31</v>
      </c>
      <c r="Z10" s="2">
        <v>39</v>
      </c>
      <c r="AA10" s="2">
        <v>30</v>
      </c>
      <c r="AB10" s="2">
        <v>32</v>
      </c>
      <c r="AC10" s="2">
        <v>32</v>
      </c>
      <c r="AD10" s="2">
        <v>9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0</v>
      </c>
      <c r="C13" s="3">
        <f t="shared" ref="C13:AT13" si="0">C10/30</f>
        <v>1.6333333333333333</v>
      </c>
      <c r="D13" s="3">
        <f t="shared" si="0"/>
        <v>1.7666666666666666</v>
      </c>
      <c r="E13" s="3">
        <f t="shared" si="0"/>
        <v>2.1333333333333333</v>
      </c>
      <c r="F13" s="3">
        <f t="shared" si="0"/>
        <v>1.8666666666666667</v>
      </c>
      <c r="G13" s="3">
        <f t="shared" si="0"/>
        <v>1.6666666666666667</v>
      </c>
      <c r="H13" s="3">
        <f t="shared" si="0"/>
        <v>1.7666666666666666</v>
      </c>
      <c r="I13" s="3">
        <f t="shared" si="0"/>
        <v>2.0333333333333332</v>
      </c>
      <c r="J13" s="3">
        <f t="shared" si="0"/>
        <v>1.5</v>
      </c>
      <c r="K13" s="3">
        <f t="shared" si="0"/>
        <v>1.3666666666666667</v>
      </c>
      <c r="L13" s="3">
        <f t="shared" si="0"/>
        <v>1.7666666666666666</v>
      </c>
      <c r="M13" s="3">
        <f t="shared" si="0"/>
        <v>1.8666666666666667</v>
      </c>
      <c r="N13" s="3">
        <f t="shared" si="0"/>
        <v>1.6666666666666667</v>
      </c>
      <c r="O13" s="3">
        <f t="shared" si="0"/>
        <v>1.7333333333333334</v>
      </c>
      <c r="P13" s="3">
        <f t="shared" si="0"/>
        <v>1.4333333333333333</v>
      </c>
      <c r="Q13" s="3">
        <f t="shared" si="0"/>
        <v>1.5</v>
      </c>
      <c r="R13" s="3">
        <f t="shared" si="0"/>
        <v>1.8666666666666667</v>
      </c>
      <c r="S13" s="3">
        <f t="shared" si="0"/>
        <v>1.5333333333333334</v>
      </c>
      <c r="T13" s="3">
        <f t="shared" si="0"/>
        <v>1.7666666666666666</v>
      </c>
      <c r="U13" s="3">
        <f t="shared" si="0"/>
        <v>1.4333333333333333</v>
      </c>
      <c r="V13" s="3">
        <f t="shared" si="0"/>
        <v>1.5</v>
      </c>
      <c r="W13" s="3">
        <f t="shared" si="0"/>
        <v>1</v>
      </c>
      <c r="X13" s="3">
        <f t="shared" si="0"/>
        <v>1.5</v>
      </c>
      <c r="Y13" s="3">
        <f t="shared" si="0"/>
        <v>1.0333333333333334</v>
      </c>
      <c r="Z13" s="3">
        <f t="shared" si="0"/>
        <v>1.3</v>
      </c>
      <c r="AA13" s="3">
        <f t="shared" si="0"/>
        <v>1</v>
      </c>
      <c r="AB13" s="3">
        <f t="shared" si="0"/>
        <v>1.0666666666666667</v>
      </c>
      <c r="AC13" s="3">
        <f t="shared" si="0"/>
        <v>1.0666666666666667</v>
      </c>
      <c r="AD13" s="3">
        <f t="shared" si="0"/>
        <v>0.3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6.0000000000000001E-3</v>
      </c>
      <c r="C14" s="3">
        <f t="shared" ref="C14:AT14" si="1" xml:space="preserve"> 0.252*C13 + 0.006</f>
        <v>0.41760000000000003</v>
      </c>
      <c r="D14" s="3">
        <f t="shared" si="1"/>
        <v>0.45119999999999999</v>
      </c>
      <c r="E14" s="3">
        <f t="shared" si="1"/>
        <v>0.54359999999999997</v>
      </c>
      <c r="F14" s="3">
        <f t="shared" si="1"/>
        <v>0.47639999999999999</v>
      </c>
      <c r="G14" s="3">
        <f t="shared" si="1"/>
        <v>0.42600000000000005</v>
      </c>
      <c r="H14" s="3">
        <f t="shared" si="1"/>
        <v>0.45119999999999999</v>
      </c>
      <c r="I14" s="3">
        <f t="shared" si="1"/>
        <v>0.51839999999999997</v>
      </c>
      <c r="J14" s="3">
        <f t="shared" si="1"/>
        <v>0.38400000000000001</v>
      </c>
      <c r="K14" s="3">
        <f t="shared" si="1"/>
        <v>0.35039999999999999</v>
      </c>
      <c r="L14" s="3">
        <f t="shared" si="1"/>
        <v>0.45119999999999999</v>
      </c>
      <c r="M14" s="3">
        <f t="shared" si="1"/>
        <v>0.47639999999999999</v>
      </c>
      <c r="N14" s="3">
        <f t="shared" si="1"/>
        <v>0.42600000000000005</v>
      </c>
      <c r="O14" s="3">
        <f t="shared" si="1"/>
        <v>0.44280000000000003</v>
      </c>
      <c r="P14" s="3">
        <f t="shared" si="1"/>
        <v>0.36720000000000003</v>
      </c>
      <c r="Q14" s="3">
        <f t="shared" si="1"/>
        <v>0.38400000000000001</v>
      </c>
      <c r="R14" s="3">
        <f t="shared" si="1"/>
        <v>0.47639999999999999</v>
      </c>
      <c r="S14" s="3">
        <f t="shared" si="1"/>
        <v>0.39240000000000003</v>
      </c>
      <c r="T14" s="3">
        <f t="shared" si="1"/>
        <v>0.45119999999999999</v>
      </c>
      <c r="U14" s="3">
        <f t="shared" si="1"/>
        <v>0.36720000000000003</v>
      </c>
      <c r="V14" s="3">
        <f t="shared" si="1"/>
        <v>0.38400000000000001</v>
      </c>
      <c r="W14" s="3">
        <f t="shared" si="1"/>
        <v>0.25800000000000001</v>
      </c>
      <c r="X14" s="3">
        <f t="shared" si="1"/>
        <v>0.38400000000000001</v>
      </c>
      <c r="Y14" s="3">
        <f t="shared" si="1"/>
        <v>0.26640000000000003</v>
      </c>
      <c r="Z14" s="3">
        <f t="shared" si="1"/>
        <v>0.33360000000000001</v>
      </c>
      <c r="AA14" s="3">
        <f t="shared" si="1"/>
        <v>0.25800000000000001</v>
      </c>
      <c r="AB14" s="3">
        <f t="shared" si="1"/>
        <v>0.27479999999999999</v>
      </c>
      <c r="AC14" s="3">
        <f t="shared" si="1"/>
        <v>0.27479999999999999</v>
      </c>
      <c r="AD14" s="3">
        <f t="shared" si="1"/>
        <v>8.1600000000000006E-2</v>
      </c>
      <c r="AE14" s="3">
        <f t="shared" si="1"/>
        <v>6.0000000000000001E-3</v>
      </c>
      <c r="AF14" s="3">
        <f t="shared" si="1"/>
        <v>6.0000000000000001E-3</v>
      </c>
      <c r="AG14" s="3">
        <f t="shared" si="1"/>
        <v>6.0000000000000001E-3</v>
      </c>
      <c r="AH14" s="3">
        <f t="shared" si="1"/>
        <v>6.0000000000000001E-3</v>
      </c>
      <c r="AI14" s="3">
        <f t="shared" si="1"/>
        <v>6.0000000000000001E-3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0</v>
      </c>
      <c r="C18" s="3">
        <f>C14*$C$17*(C8/100)</f>
        <v>4.1760000000000005E-2</v>
      </c>
      <c r="D18" s="3">
        <f t="shared" ref="D18:AU18" si="2">D14*$C$17*(D8/100)</f>
        <v>5.4143999999999998E-2</v>
      </c>
      <c r="E18" s="3">
        <f t="shared" si="2"/>
        <v>6.7949999999999997E-2</v>
      </c>
      <c r="F18" s="3">
        <f t="shared" si="2"/>
        <v>6.1932000000000001E-2</v>
      </c>
      <c r="G18" s="3">
        <f t="shared" si="2"/>
        <v>5.9640000000000012E-2</v>
      </c>
      <c r="H18" s="3">
        <f t="shared" si="2"/>
        <v>8.5727999999999999E-2</v>
      </c>
      <c r="I18" s="3">
        <f t="shared" si="2"/>
        <v>9.8496E-2</v>
      </c>
      <c r="J18" s="3">
        <f t="shared" si="2"/>
        <v>6.7199999999999996E-2</v>
      </c>
      <c r="K18" s="3">
        <f t="shared" si="2"/>
        <v>7.0080000000000003E-2</v>
      </c>
      <c r="L18" s="3">
        <f t="shared" si="2"/>
        <v>9.0240000000000001E-2</v>
      </c>
      <c r="M18" s="3">
        <f t="shared" si="2"/>
        <v>9.5280000000000004E-2</v>
      </c>
      <c r="N18" s="3">
        <f t="shared" si="2"/>
        <v>7.4550000000000005E-2</v>
      </c>
      <c r="O18" s="3">
        <f t="shared" si="2"/>
        <v>8.4132000000000012E-2</v>
      </c>
      <c r="P18" s="3">
        <f t="shared" si="2"/>
        <v>7.3440000000000005E-2</v>
      </c>
      <c r="Q18" s="3">
        <f t="shared" si="2"/>
        <v>7.6800000000000007E-2</v>
      </c>
      <c r="R18" s="3">
        <f t="shared" si="2"/>
        <v>9.0515999999999999E-2</v>
      </c>
      <c r="S18" s="3">
        <f t="shared" si="2"/>
        <v>7.0632E-2</v>
      </c>
      <c r="T18" s="3">
        <f t="shared" si="2"/>
        <v>8.5727999999999999E-2</v>
      </c>
      <c r="U18" s="3">
        <f t="shared" si="2"/>
        <v>6.6096000000000002E-2</v>
      </c>
      <c r="V18" s="3">
        <f t="shared" si="2"/>
        <v>6.9120000000000001E-2</v>
      </c>
      <c r="W18" s="3">
        <f t="shared" si="2"/>
        <v>4.6440000000000002E-2</v>
      </c>
      <c r="X18" s="3">
        <f t="shared" si="2"/>
        <v>5.7599999999999998E-2</v>
      </c>
      <c r="Y18" s="3">
        <f t="shared" si="2"/>
        <v>3.9960000000000002E-2</v>
      </c>
      <c r="Z18" s="3">
        <f t="shared" si="2"/>
        <v>4.6704000000000002E-2</v>
      </c>
      <c r="AA18" s="3">
        <f t="shared" si="2"/>
        <v>3.2250000000000001E-2</v>
      </c>
      <c r="AB18" s="3">
        <f t="shared" si="2"/>
        <v>3.1601999999999998E-2</v>
      </c>
      <c r="AC18" s="3">
        <f t="shared" si="2"/>
        <v>2.7480000000000001E-2</v>
      </c>
      <c r="AD18" s="3">
        <f t="shared" si="2"/>
        <v>7.3439999999999998E-3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3">
        <f t="shared" si="2"/>
        <v>0</v>
      </c>
      <c r="AI18" s="3">
        <f t="shared" si="2"/>
        <v>0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1.7728440000000001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A6DC-9CB8-4F5D-9F22-90C5B8D32922}">
  <dimension ref="A1:AT21"/>
  <sheetViews>
    <sheetView topLeftCell="F1" workbookViewId="0">
      <selection activeCell="N21" sqref="N21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16</v>
      </c>
      <c r="B1" s="7">
        <v>43791</v>
      </c>
    </row>
    <row r="3" spans="1:46" x14ac:dyDescent="0.3">
      <c r="A3" s="1" t="s">
        <v>2</v>
      </c>
      <c r="B3" s="2">
        <v>17</v>
      </c>
    </row>
    <row r="4" spans="1:46" x14ac:dyDescent="0.3">
      <c r="A4" s="1" t="s">
        <v>7</v>
      </c>
      <c r="B4" s="2"/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>
        <v>11</v>
      </c>
      <c r="C8" s="2">
        <v>13</v>
      </c>
      <c r="D8" s="2">
        <v>15</v>
      </c>
      <c r="E8" s="2">
        <v>21</v>
      </c>
      <c r="F8" s="2">
        <v>12</v>
      </c>
      <c r="G8" s="2">
        <v>23</v>
      </c>
      <c r="H8" s="2">
        <v>13</v>
      </c>
      <c r="I8" s="2">
        <v>13</v>
      </c>
      <c r="J8" s="2">
        <v>21</v>
      </c>
      <c r="K8" s="2">
        <v>21</v>
      </c>
      <c r="L8" s="2">
        <v>22</v>
      </c>
      <c r="M8" s="2">
        <v>21</v>
      </c>
      <c r="N8" s="2">
        <v>18</v>
      </c>
      <c r="O8" s="2">
        <v>19</v>
      </c>
      <c r="P8" s="2">
        <v>19</v>
      </c>
      <c r="Q8" s="2">
        <v>15</v>
      </c>
      <c r="R8" s="2">
        <v>20</v>
      </c>
      <c r="S8" s="2">
        <v>20</v>
      </c>
      <c r="T8" s="2">
        <v>18</v>
      </c>
      <c r="U8" s="2">
        <v>18</v>
      </c>
      <c r="V8" s="2">
        <v>19</v>
      </c>
      <c r="W8" s="2">
        <v>18</v>
      </c>
      <c r="X8" s="2">
        <v>16</v>
      </c>
      <c r="Y8" s="2">
        <v>24</v>
      </c>
      <c r="Z8" s="2">
        <v>24</v>
      </c>
      <c r="AA8" s="2">
        <v>24</v>
      </c>
      <c r="AB8" s="2">
        <v>20</v>
      </c>
      <c r="AC8" s="2">
        <v>23</v>
      </c>
      <c r="AD8" s="2">
        <v>21</v>
      </c>
      <c r="AE8" s="2">
        <v>27</v>
      </c>
      <c r="AF8" s="2">
        <v>27</v>
      </c>
      <c r="AG8" s="2">
        <v>27</v>
      </c>
      <c r="AH8" s="2">
        <v>27</v>
      </c>
      <c r="AI8" s="2">
        <v>16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>
        <v>4</v>
      </c>
      <c r="C9" s="2">
        <v>5</v>
      </c>
      <c r="D9" s="2">
        <v>6</v>
      </c>
      <c r="E9" s="2">
        <v>8</v>
      </c>
      <c r="F9" s="2">
        <v>5</v>
      </c>
      <c r="G9" s="2">
        <v>9</v>
      </c>
      <c r="H9" s="2">
        <v>5</v>
      </c>
      <c r="I9" s="2">
        <v>5</v>
      </c>
      <c r="J9" s="2">
        <v>8</v>
      </c>
      <c r="K9" s="2">
        <v>8</v>
      </c>
      <c r="L9" s="2">
        <v>9</v>
      </c>
      <c r="M9" s="2">
        <v>8</v>
      </c>
      <c r="N9" s="2">
        <v>7</v>
      </c>
      <c r="O9" s="2">
        <v>8</v>
      </c>
      <c r="P9" s="2">
        <v>8</v>
      </c>
      <c r="Q9" s="2">
        <v>6</v>
      </c>
      <c r="R9" s="2">
        <v>8</v>
      </c>
      <c r="S9" s="2">
        <v>8</v>
      </c>
      <c r="T9" s="2">
        <v>7</v>
      </c>
      <c r="U9" s="2">
        <v>7</v>
      </c>
      <c r="V9" s="2">
        <v>8</v>
      </c>
      <c r="W9" s="2">
        <v>7</v>
      </c>
      <c r="X9" s="2">
        <v>6</v>
      </c>
      <c r="Y9" s="2">
        <v>10</v>
      </c>
      <c r="Z9" s="2">
        <v>10</v>
      </c>
      <c r="AA9" s="2">
        <v>10</v>
      </c>
      <c r="AB9" s="2">
        <v>8</v>
      </c>
      <c r="AC9" s="2">
        <v>9</v>
      </c>
      <c r="AD9" s="2">
        <v>8</v>
      </c>
      <c r="AE9" s="2">
        <v>11</v>
      </c>
      <c r="AF9" s="2">
        <v>11</v>
      </c>
      <c r="AG9" s="2">
        <v>11</v>
      </c>
      <c r="AH9" s="2">
        <v>11</v>
      </c>
      <c r="AI9" s="2">
        <v>6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>
        <v>11</v>
      </c>
      <c r="C10" s="2">
        <v>39</v>
      </c>
      <c r="D10" s="2">
        <v>54</v>
      </c>
      <c r="E10" s="2">
        <v>73</v>
      </c>
      <c r="F10" s="2">
        <v>98</v>
      </c>
      <c r="G10" s="2">
        <v>81</v>
      </c>
      <c r="H10" s="2">
        <v>91</v>
      </c>
      <c r="I10" s="2">
        <v>64</v>
      </c>
      <c r="J10" s="2">
        <v>62</v>
      </c>
      <c r="K10" s="2">
        <v>98</v>
      </c>
      <c r="L10" s="2">
        <v>93</v>
      </c>
      <c r="M10" s="2">
        <v>80</v>
      </c>
      <c r="N10" s="2">
        <v>77</v>
      </c>
      <c r="O10" s="2">
        <v>89</v>
      </c>
      <c r="P10" s="2">
        <v>73</v>
      </c>
      <c r="Q10" s="2">
        <v>59</v>
      </c>
      <c r="R10" s="2">
        <v>71</v>
      </c>
      <c r="S10" s="2">
        <v>41</v>
      </c>
      <c r="T10" s="2">
        <v>69</v>
      </c>
      <c r="U10" s="2">
        <v>39</v>
      </c>
      <c r="V10" s="2">
        <v>82</v>
      </c>
      <c r="W10" s="2">
        <v>82</v>
      </c>
      <c r="X10" s="2">
        <v>80</v>
      </c>
      <c r="Y10" s="2">
        <v>82</v>
      </c>
      <c r="Z10" s="2">
        <v>99</v>
      </c>
      <c r="AA10" s="2">
        <v>77</v>
      </c>
      <c r="AB10" s="2">
        <v>89</v>
      </c>
      <c r="AC10" s="2">
        <v>75</v>
      </c>
      <c r="AD10" s="2">
        <v>71</v>
      </c>
      <c r="AE10" s="2">
        <v>73</v>
      </c>
      <c r="AF10" s="2">
        <v>66</v>
      </c>
      <c r="AG10" s="2">
        <v>79</v>
      </c>
      <c r="AH10" s="2">
        <v>83</v>
      </c>
      <c r="AI10" s="2">
        <v>33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0.36666666666666664</v>
      </c>
      <c r="C13" s="3">
        <f t="shared" ref="C13:AT13" si="0">C10/30</f>
        <v>1.3</v>
      </c>
      <c r="D13" s="3">
        <f t="shared" si="0"/>
        <v>1.8</v>
      </c>
      <c r="E13" s="3">
        <f t="shared" si="0"/>
        <v>2.4333333333333331</v>
      </c>
      <c r="F13" s="3">
        <f t="shared" si="0"/>
        <v>3.2666666666666666</v>
      </c>
      <c r="G13" s="3">
        <f t="shared" si="0"/>
        <v>2.7</v>
      </c>
      <c r="H13" s="3">
        <f t="shared" si="0"/>
        <v>3.0333333333333332</v>
      </c>
      <c r="I13" s="3">
        <f t="shared" si="0"/>
        <v>2.1333333333333333</v>
      </c>
      <c r="J13" s="3">
        <f t="shared" si="0"/>
        <v>2.0666666666666669</v>
      </c>
      <c r="K13" s="3">
        <f t="shared" si="0"/>
        <v>3.2666666666666666</v>
      </c>
      <c r="L13" s="3">
        <f t="shared" si="0"/>
        <v>3.1</v>
      </c>
      <c r="M13" s="3">
        <f t="shared" si="0"/>
        <v>2.6666666666666665</v>
      </c>
      <c r="N13" s="3">
        <f t="shared" si="0"/>
        <v>2.5666666666666669</v>
      </c>
      <c r="O13" s="3">
        <f t="shared" si="0"/>
        <v>2.9666666666666668</v>
      </c>
      <c r="P13" s="3">
        <f t="shared" si="0"/>
        <v>2.4333333333333331</v>
      </c>
      <c r="Q13" s="3">
        <f t="shared" si="0"/>
        <v>1.9666666666666666</v>
      </c>
      <c r="R13" s="3">
        <f t="shared" si="0"/>
        <v>2.3666666666666667</v>
      </c>
      <c r="S13" s="3">
        <f t="shared" si="0"/>
        <v>1.3666666666666667</v>
      </c>
      <c r="T13" s="3">
        <f t="shared" si="0"/>
        <v>2.2999999999999998</v>
      </c>
      <c r="U13" s="3">
        <f t="shared" si="0"/>
        <v>1.3</v>
      </c>
      <c r="V13" s="3">
        <f t="shared" si="0"/>
        <v>2.7333333333333334</v>
      </c>
      <c r="W13" s="3">
        <f t="shared" si="0"/>
        <v>2.7333333333333334</v>
      </c>
      <c r="X13" s="3">
        <f t="shared" si="0"/>
        <v>2.6666666666666665</v>
      </c>
      <c r="Y13" s="3">
        <f t="shared" si="0"/>
        <v>2.7333333333333334</v>
      </c>
      <c r="Z13" s="3">
        <f t="shared" si="0"/>
        <v>3.3</v>
      </c>
      <c r="AA13" s="3">
        <f t="shared" si="0"/>
        <v>2.5666666666666669</v>
      </c>
      <c r="AB13" s="3">
        <f t="shared" si="0"/>
        <v>2.9666666666666668</v>
      </c>
      <c r="AC13" s="3">
        <f t="shared" si="0"/>
        <v>2.5</v>
      </c>
      <c r="AD13" s="3">
        <f t="shared" si="0"/>
        <v>2.3666666666666667</v>
      </c>
      <c r="AE13" s="3">
        <f t="shared" si="0"/>
        <v>2.4333333333333331</v>
      </c>
      <c r="AF13" s="3">
        <f t="shared" si="0"/>
        <v>2.2000000000000002</v>
      </c>
      <c r="AG13" s="3">
        <f t="shared" si="0"/>
        <v>2.6333333333333333</v>
      </c>
      <c r="AH13" s="3">
        <f t="shared" si="0"/>
        <v>2.7666666666666666</v>
      </c>
      <c r="AI13" s="3">
        <f t="shared" si="0"/>
        <v>1.1000000000000001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9.8400000000000001E-2</v>
      </c>
      <c r="C14" s="3">
        <f t="shared" ref="C14:AT14" si="1" xml:space="preserve"> 0.252*C13 + 0.006</f>
        <v>0.33360000000000001</v>
      </c>
      <c r="D14" s="3">
        <f t="shared" si="1"/>
        <v>0.45960000000000001</v>
      </c>
      <c r="E14" s="3">
        <f t="shared" si="1"/>
        <v>0.61919999999999997</v>
      </c>
      <c r="F14" s="3">
        <f t="shared" si="1"/>
        <v>0.82920000000000005</v>
      </c>
      <c r="G14" s="3">
        <f t="shared" si="1"/>
        <v>0.68640000000000001</v>
      </c>
      <c r="H14" s="3">
        <f t="shared" si="1"/>
        <v>0.77039999999999997</v>
      </c>
      <c r="I14" s="3">
        <f t="shared" si="1"/>
        <v>0.54359999999999997</v>
      </c>
      <c r="J14" s="3">
        <f t="shared" si="1"/>
        <v>0.52680000000000005</v>
      </c>
      <c r="K14" s="3">
        <f t="shared" si="1"/>
        <v>0.82920000000000005</v>
      </c>
      <c r="L14" s="3">
        <f t="shared" si="1"/>
        <v>0.78720000000000001</v>
      </c>
      <c r="M14" s="3">
        <f t="shared" si="1"/>
        <v>0.67799999999999994</v>
      </c>
      <c r="N14" s="3">
        <f t="shared" si="1"/>
        <v>0.65280000000000005</v>
      </c>
      <c r="O14" s="3">
        <f t="shared" si="1"/>
        <v>0.75360000000000005</v>
      </c>
      <c r="P14" s="3">
        <f t="shared" si="1"/>
        <v>0.61919999999999997</v>
      </c>
      <c r="Q14" s="3">
        <f t="shared" si="1"/>
        <v>0.50159999999999993</v>
      </c>
      <c r="R14" s="3">
        <f t="shared" si="1"/>
        <v>0.60240000000000005</v>
      </c>
      <c r="S14" s="3">
        <f t="shared" si="1"/>
        <v>0.35039999999999999</v>
      </c>
      <c r="T14" s="3">
        <f t="shared" si="1"/>
        <v>0.58560000000000001</v>
      </c>
      <c r="U14" s="3">
        <f t="shared" si="1"/>
        <v>0.33360000000000001</v>
      </c>
      <c r="V14" s="3">
        <f t="shared" si="1"/>
        <v>0.69479999999999997</v>
      </c>
      <c r="W14" s="3">
        <f t="shared" si="1"/>
        <v>0.69479999999999997</v>
      </c>
      <c r="X14" s="3">
        <f t="shared" si="1"/>
        <v>0.67799999999999994</v>
      </c>
      <c r="Y14" s="3">
        <f t="shared" si="1"/>
        <v>0.69479999999999997</v>
      </c>
      <c r="Z14" s="3">
        <f t="shared" si="1"/>
        <v>0.83760000000000001</v>
      </c>
      <c r="AA14" s="3">
        <f t="shared" si="1"/>
        <v>0.65280000000000005</v>
      </c>
      <c r="AB14" s="3">
        <f t="shared" si="1"/>
        <v>0.75360000000000005</v>
      </c>
      <c r="AC14" s="3">
        <f t="shared" si="1"/>
        <v>0.63600000000000001</v>
      </c>
      <c r="AD14" s="3">
        <f t="shared" si="1"/>
        <v>0.60240000000000005</v>
      </c>
      <c r="AE14" s="3">
        <f t="shared" si="1"/>
        <v>0.61919999999999997</v>
      </c>
      <c r="AF14" s="3">
        <f t="shared" si="1"/>
        <v>0.56040000000000001</v>
      </c>
      <c r="AG14" s="3">
        <f t="shared" si="1"/>
        <v>0.66959999999999997</v>
      </c>
      <c r="AH14" s="3">
        <f t="shared" si="1"/>
        <v>0.70320000000000005</v>
      </c>
      <c r="AI14" s="3">
        <f t="shared" si="1"/>
        <v>0.28320000000000001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5.4120000000000001E-3</v>
      </c>
      <c r="C18" s="3">
        <f>C14*$C$17*(C8/100)</f>
        <v>2.1684000000000002E-2</v>
      </c>
      <c r="D18" s="3">
        <f t="shared" ref="D18:AU18" si="2">D14*$C$17*(D8/100)</f>
        <v>3.4470000000000001E-2</v>
      </c>
      <c r="E18" s="3">
        <f t="shared" si="2"/>
        <v>6.501599999999999E-2</v>
      </c>
      <c r="F18" s="3">
        <f t="shared" si="2"/>
        <v>4.9751999999999998E-2</v>
      </c>
      <c r="G18" s="3">
        <f t="shared" si="2"/>
        <v>7.8936000000000006E-2</v>
      </c>
      <c r="H18" s="3">
        <f t="shared" si="2"/>
        <v>5.0076000000000002E-2</v>
      </c>
      <c r="I18" s="3">
        <f t="shared" si="2"/>
        <v>3.5333999999999997E-2</v>
      </c>
      <c r="J18" s="3">
        <f t="shared" si="2"/>
        <v>5.5314000000000002E-2</v>
      </c>
      <c r="K18" s="3">
        <f t="shared" si="2"/>
        <v>8.7066000000000004E-2</v>
      </c>
      <c r="L18" s="3">
        <f t="shared" si="2"/>
        <v>8.6592000000000002E-2</v>
      </c>
      <c r="M18" s="3">
        <f t="shared" si="2"/>
        <v>7.1189999999999989E-2</v>
      </c>
      <c r="N18" s="3">
        <f t="shared" si="2"/>
        <v>5.8751999999999999E-2</v>
      </c>
      <c r="O18" s="3">
        <f t="shared" si="2"/>
        <v>7.1592000000000003E-2</v>
      </c>
      <c r="P18" s="3">
        <f t="shared" si="2"/>
        <v>5.8824000000000001E-2</v>
      </c>
      <c r="Q18" s="3">
        <f t="shared" si="2"/>
        <v>3.7619999999999994E-2</v>
      </c>
      <c r="R18" s="3">
        <f t="shared" si="2"/>
        <v>6.0240000000000009E-2</v>
      </c>
      <c r="S18" s="3">
        <f t="shared" si="2"/>
        <v>3.5040000000000002E-2</v>
      </c>
      <c r="T18" s="3">
        <f t="shared" si="2"/>
        <v>5.2704000000000001E-2</v>
      </c>
      <c r="U18" s="3">
        <f t="shared" si="2"/>
        <v>3.0023999999999999E-2</v>
      </c>
      <c r="V18" s="3">
        <f t="shared" si="2"/>
        <v>6.6005999999999995E-2</v>
      </c>
      <c r="W18" s="3">
        <f t="shared" si="2"/>
        <v>6.253199999999999E-2</v>
      </c>
      <c r="X18" s="3">
        <f t="shared" si="2"/>
        <v>5.4239999999999997E-2</v>
      </c>
      <c r="Y18" s="3">
        <f t="shared" si="2"/>
        <v>8.3375999999999992E-2</v>
      </c>
      <c r="Z18" s="3">
        <f t="shared" si="2"/>
        <v>0.100512</v>
      </c>
      <c r="AA18" s="3">
        <f t="shared" si="2"/>
        <v>7.8336000000000003E-2</v>
      </c>
      <c r="AB18" s="3">
        <f t="shared" si="2"/>
        <v>7.536000000000001E-2</v>
      </c>
      <c r="AC18" s="3">
        <f t="shared" si="2"/>
        <v>7.3140000000000011E-2</v>
      </c>
      <c r="AD18" s="3">
        <f t="shared" si="2"/>
        <v>6.3252000000000003E-2</v>
      </c>
      <c r="AE18" s="3">
        <f t="shared" si="2"/>
        <v>8.3592E-2</v>
      </c>
      <c r="AF18" s="3">
        <f t="shared" si="2"/>
        <v>7.5654000000000013E-2</v>
      </c>
      <c r="AG18" s="3">
        <f t="shared" si="2"/>
        <v>9.0396000000000004E-2</v>
      </c>
      <c r="AH18" s="3">
        <f t="shared" si="2"/>
        <v>9.4932000000000016E-2</v>
      </c>
      <c r="AI18" s="3">
        <f t="shared" si="2"/>
        <v>2.2656000000000003E-2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2.0696220000000003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D1D0-721C-4938-B2BA-AD1D4190C2FE}">
  <dimension ref="A1:AT21"/>
  <sheetViews>
    <sheetView workbookViewId="0">
      <selection sqref="A1:XFD1048576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17</v>
      </c>
      <c r="B1" s="7">
        <v>43791</v>
      </c>
    </row>
    <row r="3" spans="1:46" x14ac:dyDescent="0.3">
      <c r="A3" s="1" t="s">
        <v>2</v>
      </c>
      <c r="B3" s="2">
        <v>15</v>
      </c>
    </row>
    <row r="4" spans="1:46" x14ac:dyDescent="0.3">
      <c r="A4" s="1" t="s">
        <v>7</v>
      </c>
      <c r="B4" s="2"/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>
        <v>18</v>
      </c>
      <c r="C8" s="2">
        <v>22</v>
      </c>
      <c r="D8" s="2">
        <v>31</v>
      </c>
      <c r="E8" s="2">
        <v>28</v>
      </c>
      <c r="F8" s="2">
        <v>28</v>
      </c>
      <c r="G8" s="2">
        <v>27</v>
      </c>
      <c r="H8" s="2">
        <v>26</v>
      </c>
      <c r="I8" s="2">
        <v>25</v>
      </c>
      <c r="J8" s="2">
        <v>29</v>
      </c>
      <c r="K8" s="2">
        <v>28</v>
      </c>
      <c r="L8" s="2">
        <v>27</v>
      </c>
      <c r="M8" s="2">
        <v>24</v>
      </c>
      <c r="N8" s="2">
        <v>19</v>
      </c>
      <c r="O8" s="2">
        <v>24</v>
      </c>
      <c r="P8" s="2">
        <v>17</v>
      </c>
      <c r="Q8" s="2">
        <v>20</v>
      </c>
      <c r="R8" s="2">
        <v>20</v>
      </c>
      <c r="S8" s="2">
        <v>16</v>
      </c>
      <c r="T8" s="2">
        <v>16</v>
      </c>
      <c r="U8" s="2">
        <v>17</v>
      </c>
      <c r="V8" s="2">
        <v>12</v>
      </c>
      <c r="W8" s="2">
        <v>16</v>
      </c>
      <c r="X8" s="2">
        <v>11</v>
      </c>
      <c r="Y8" s="2">
        <v>11</v>
      </c>
      <c r="Z8" s="2">
        <v>11</v>
      </c>
      <c r="AA8" s="2">
        <v>10</v>
      </c>
      <c r="AB8" s="2">
        <v>13</v>
      </c>
      <c r="AC8" s="2">
        <v>13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>
        <v>7</v>
      </c>
      <c r="C9" s="2">
        <v>9</v>
      </c>
      <c r="D9" s="2">
        <v>12</v>
      </c>
      <c r="E9" s="2">
        <v>11</v>
      </c>
      <c r="F9" s="2">
        <v>11</v>
      </c>
      <c r="G9" s="2">
        <v>11</v>
      </c>
      <c r="H9" s="2">
        <v>10</v>
      </c>
      <c r="I9" s="2">
        <v>10</v>
      </c>
      <c r="J9" s="2">
        <v>12</v>
      </c>
      <c r="K9" s="2">
        <v>11</v>
      </c>
      <c r="L9" s="2">
        <v>11</v>
      </c>
      <c r="M9" s="2">
        <v>10</v>
      </c>
      <c r="N9" s="2">
        <v>8</v>
      </c>
      <c r="O9" s="2">
        <v>10</v>
      </c>
      <c r="P9" s="2">
        <v>7</v>
      </c>
      <c r="Q9" s="2">
        <v>8</v>
      </c>
      <c r="R9" s="2">
        <v>8</v>
      </c>
      <c r="S9" s="2">
        <v>6</v>
      </c>
      <c r="T9" s="2">
        <v>6</v>
      </c>
      <c r="U9" s="2">
        <v>7</v>
      </c>
      <c r="V9" s="2">
        <v>5</v>
      </c>
      <c r="W9" s="2">
        <v>6</v>
      </c>
      <c r="X9" s="2">
        <v>4</v>
      </c>
      <c r="Y9" s="2">
        <v>4</v>
      </c>
      <c r="Z9" s="2">
        <v>4</v>
      </c>
      <c r="AA9" s="2">
        <v>4</v>
      </c>
      <c r="AB9" s="2">
        <v>5</v>
      </c>
      <c r="AC9" s="2">
        <v>5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>
        <v>53</v>
      </c>
      <c r="C10" s="2">
        <v>62</v>
      </c>
      <c r="D10" s="2">
        <v>55</v>
      </c>
      <c r="E10" s="2">
        <v>36</v>
      </c>
      <c r="F10" s="2">
        <v>61</v>
      </c>
      <c r="G10" s="2">
        <v>60</v>
      </c>
      <c r="H10" s="2">
        <v>74</v>
      </c>
      <c r="I10" s="2">
        <v>79</v>
      </c>
      <c r="J10" s="2">
        <v>72</v>
      </c>
      <c r="K10" s="2">
        <v>80</v>
      </c>
      <c r="L10" s="2">
        <v>67</v>
      </c>
      <c r="M10" s="2">
        <v>58</v>
      </c>
      <c r="N10" s="2">
        <v>51</v>
      </c>
      <c r="O10" s="2">
        <v>56</v>
      </c>
      <c r="P10" s="2">
        <v>65</v>
      </c>
      <c r="Q10" s="2">
        <v>63</v>
      </c>
      <c r="R10" s="2">
        <v>62</v>
      </c>
      <c r="S10" s="2">
        <v>48</v>
      </c>
      <c r="T10" s="2">
        <v>51</v>
      </c>
      <c r="U10" s="2">
        <v>44</v>
      </c>
      <c r="V10" s="2">
        <v>32</v>
      </c>
      <c r="W10" s="2">
        <v>49</v>
      </c>
      <c r="X10" s="2">
        <v>38</v>
      </c>
      <c r="Y10" s="2">
        <v>24</v>
      </c>
      <c r="Z10" s="2">
        <v>34</v>
      </c>
      <c r="AA10" s="2">
        <v>32</v>
      </c>
      <c r="AB10" s="2">
        <v>23</v>
      </c>
      <c r="AC10" s="2">
        <v>22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1.7666666666666666</v>
      </c>
      <c r="C13" s="3">
        <f t="shared" ref="C13:AT13" si="0">C10/30</f>
        <v>2.0666666666666669</v>
      </c>
      <c r="D13" s="3">
        <f t="shared" si="0"/>
        <v>1.8333333333333333</v>
      </c>
      <c r="E13" s="3">
        <f t="shared" si="0"/>
        <v>1.2</v>
      </c>
      <c r="F13" s="3">
        <f t="shared" si="0"/>
        <v>2.0333333333333332</v>
      </c>
      <c r="G13" s="3">
        <f t="shared" si="0"/>
        <v>2</v>
      </c>
      <c r="H13" s="3">
        <f t="shared" si="0"/>
        <v>2.4666666666666668</v>
      </c>
      <c r="I13" s="3">
        <f t="shared" si="0"/>
        <v>2.6333333333333333</v>
      </c>
      <c r="J13" s="3">
        <f t="shared" si="0"/>
        <v>2.4</v>
      </c>
      <c r="K13" s="3">
        <f t="shared" si="0"/>
        <v>2.6666666666666665</v>
      </c>
      <c r="L13" s="3">
        <f t="shared" si="0"/>
        <v>2.2333333333333334</v>
      </c>
      <c r="M13" s="3">
        <f t="shared" si="0"/>
        <v>1.9333333333333333</v>
      </c>
      <c r="N13" s="3">
        <f t="shared" si="0"/>
        <v>1.7</v>
      </c>
      <c r="O13" s="3">
        <f t="shared" si="0"/>
        <v>1.8666666666666667</v>
      </c>
      <c r="P13" s="3">
        <f t="shared" si="0"/>
        <v>2.1666666666666665</v>
      </c>
      <c r="Q13" s="3">
        <f t="shared" si="0"/>
        <v>2.1</v>
      </c>
      <c r="R13" s="3">
        <f t="shared" si="0"/>
        <v>2.0666666666666669</v>
      </c>
      <c r="S13" s="3">
        <f t="shared" si="0"/>
        <v>1.6</v>
      </c>
      <c r="T13" s="3">
        <f t="shared" si="0"/>
        <v>1.7</v>
      </c>
      <c r="U13" s="3">
        <f t="shared" si="0"/>
        <v>1.4666666666666666</v>
      </c>
      <c r="V13" s="3">
        <f t="shared" si="0"/>
        <v>1.0666666666666667</v>
      </c>
      <c r="W13" s="3">
        <f t="shared" si="0"/>
        <v>1.6333333333333333</v>
      </c>
      <c r="X13" s="3">
        <f t="shared" si="0"/>
        <v>1.2666666666666666</v>
      </c>
      <c r="Y13" s="3">
        <f t="shared" si="0"/>
        <v>0.8</v>
      </c>
      <c r="Z13" s="3">
        <f t="shared" si="0"/>
        <v>1.1333333333333333</v>
      </c>
      <c r="AA13" s="3">
        <f t="shared" si="0"/>
        <v>1.0666666666666667</v>
      </c>
      <c r="AB13" s="3">
        <f t="shared" si="0"/>
        <v>0.76666666666666672</v>
      </c>
      <c r="AC13" s="3">
        <f t="shared" si="0"/>
        <v>0.73333333333333328</v>
      </c>
      <c r="AD13" s="3">
        <f t="shared" si="0"/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0.45119999999999999</v>
      </c>
      <c r="C14" s="3">
        <f t="shared" ref="C14:AT14" si="1" xml:space="preserve"> 0.252*C13 + 0.006</f>
        <v>0.52680000000000005</v>
      </c>
      <c r="D14" s="3">
        <f t="shared" si="1"/>
        <v>0.46799999999999997</v>
      </c>
      <c r="E14" s="3">
        <f t="shared" si="1"/>
        <v>0.30840000000000001</v>
      </c>
      <c r="F14" s="3">
        <f t="shared" si="1"/>
        <v>0.51839999999999997</v>
      </c>
      <c r="G14" s="3">
        <f t="shared" si="1"/>
        <v>0.51</v>
      </c>
      <c r="H14" s="3">
        <f t="shared" si="1"/>
        <v>0.62760000000000005</v>
      </c>
      <c r="I14" s="3">
        <f t="shared" si="1"/>
        <v>0.66959999999999997</v>
      </c>
      <c r="J14" s="3">
        <f t="shared" si="1"/>
        <v>0.61080000000000001</v>
      </c>
      <c r="K14" s="3">
        <f t="shared" si="1"/>
        <v>0.67799999999999994</v>
      </c>
      <c r="L14" s="3">
        <f t="shared" si="1"/>
        <v>0.56879999999999997</v>
      </c>
      <c r="M14" s="3">
        <f t="shared" si="1"/>
        <v>0.49320000000000003</v>
      </c>
      <c r="N14" s="3">
        <f t="shared" si="1"/>
        <v>0.43440000000000001</v>
      </c>
      <c r="O14" s="3">
        <f t="shared" si="1"/>
        <v>0.47639999999999999</v>
      </c>
      <c r="P14" s="3">
        <f t="shared" si="1"/>
        <v>0.55199999999999994</v>
      </c>
      <c r="Q14" s="3">
        <f t="shared" si="1"/>
        <v>0.53520000000000001</v>
      </c>
      <c r="R14" s="3">
        <f t="shared" si="1"/>
        <v>0.52680000000000005</v>
      </c>
      <c r="S14" s="3">
        <f t="shared" si="1"/>
        <v>0.40920000000000001</v>
      </c>
      <c r="T14" s="3">
        <f t="shared" si="1"/>
        <v>0.43440000000000001</v>
      </c>
      <c r="U14" s="3">
        <f t="shared" si="1"/>
        <v>0.37559999999999999</v>
      </c>
      <c r="V14" s="3">
        <f t="shared" si="1"/>
        <v>0.27479999999999999</v>
      </c>
      <c r="W14" s="3">
        <f t="shared" si="1"/>
        <v>0.41760000000000003</v>
      </c>
      <c r="X14" s="3">
        <f t="shared" si="1"/>
        <v>0.32519999999999999</v>
      </c>
      <c r="Y14" s="3">
        <f t="shared" si="1"/>
        <v>0.20760000000000001</v>
      </c>
      <c r="Z14" s="3">
        <f t="shared" si="1"/>
        <v>0.29160000000000003</v>
      </c>
      <c r="AA14" s="3">
        <f t="shared" si="1"/>
        <v>0.27479999999999999</v>
      </c>
      <c r="AB14" s="3">
        <f t="shared" si="1"/>
        <v>0.19920000000000002</v>
      </c>
      <c r="AC14" s="3">
        <f t="shared" si="1"/>
        <v>0.1908</v>
      </c>
      <c r="AD14" s="3">
        <f t="shared" si="1"/>
        <v>6.0000000000000001E-3</v>
      </c>
      <c r="AE14" s="3">
        <f t="shared" si="1"/>
        <v>6.0000000000000001E-3</v>
      </c>
      <c r="AF14" s="3">
        <f t="shared" si="1"/>
        <v>6.0000000000000001E-3</v>
      </c>
      <c r="AG14" s="3">
        <f t="shared" si="1"/>
        <v>6.0000000000000001E-3</v>
      </c>
      <c r="AH14" s="3">
        <f t="shared" si="1"/>
        <v>6.0000000000000001E-3</v>
      </c>
      <c r="AI14" s="3">
        <f t="shared" si="1"/>
        <v>6.0000000000000001E-3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4.0607999999999998E-2</v>
      </c>
      <c r="C18" s="3">
        <f>C14*$C$17*(C8/100)</f>
        <v>5.7948000000000006E-2</v>
      </c>
      <c r="D18" s="3">
        <f t="shared" ref="D18:AU18" si="2">D14*$C$17*(D8/100)</f>
        <v>7.2539999999999993E-2</v>
      </c>
      <c r="E18" s="3">
        <f t="shared" si="2"/>
        <v>4.3176000000000006E-2</v>
      </c>
      <c r="F18" s="3">
        <f t="shared" si="2"/>
        <v>7.2576000000000002E-2</v>
      </c>
      <c r="G18" s="3">
        <f t="shared" si="2"/>
        <v>6.8850000000000008E-2</v>
      </c>
      <c r="H18" s="3">
        <f t="shared" si="2"/>
        <v>8.1588000000000008E-2</v>
      </c>
      <c r="I18" s="3">
        <f t="shared" si="2"/>
        <v>8.3699999999999997E-2</v>
      </c>
      <c r="J18" s="3">
        <f t="shared" si="2"/>
        <v>8.8565999999999992E-2</v>
      </c>
      <c r="K18" s="3">
        <f t="shared" si="2"/>
        <v>9.4920000000000004E-2</v>
      </c>
      <c r="L18" s="3">
        <f t="shared" si="2"/>
        <v>7.6787999999999995E-2</v>
      </c>
      <c r="M18" s="3">
        <f t="shared" si="2"/>
        <v>5.9184E-2</v>
      </c>
      <c r="N18" s="3">
        <f t="shared" si="2"/>
        <v>4.1267999999999999E-2</v>
      </c>
      <c r="O18" s="3">
        <f t="shared" si="2"/>
        <v>5.7167999999999997E-2</v>
      </c>
      <c r="P18" s="3">
        <f t="shared" si="2"/>
        <v>4.6919999999999996E-2</v>
      </c>
      <c r="Q18" s="3">
        <f t="shared" si="2"/>
        <v>5.3520000000000005E-2</v>
      </c>
      <c r="R18" s="3">
        <f t="shared" si="2"/>
        <v>5.2680000000000005E-2</v>
      </c>
      <c r="S18" s="3">
        <f t="shared" si="2"/>
        <v>3.2736000000000001E-2</v>
      </c>
      <c r="T18" s="3">
        <f t="shared" si="2"/>
        <v>3.4751999999999998E-2</v>
      </c>
      <c r="U18" s="3">
        <f t="shared" si="2"/>
        <v>3.1926000000000003E-2</v>
      </c>
      <c r="V18" s="3">
        <f t="shared" si="2"/>
        <v>1.6487999999999999E-2</v>
      </c>
      <c r="W18" s="3">
        <f t="shared" si="2"/>
        <v>3.3408E-2</v>
      </c>
      <c r="X18" s="3">
        <f t="shared" si="2"/>
        <v>1.7885999999999999E-2</v>
      </c>
      <c r="Y18" s="3">
        <f t="shared" si="2"/>
        <v>1.1418000000000001E-2</v>
      </c>
      <c r="Z18" s="3">
        <f t="shared" si="2"/>
        <v>1.6038E-2</v>
      </c>
      <c r="AA18" s="3">
        <f t="shared" si="2"/>
        <v>1.374E-2</v>
      </c>
      <c r="AB18" s="3">
        <f t="shared" si="2"/>
        <v>1.2948000000000001E-2</v>
      </c>
      <c r="AC18" s="3">
        <f t="shared" si="2"/>
        <v>1.2402E-2</v>
      </c>
      <c r="AD18" s="3">
        <f t="shared" si="2"/>
        <v>0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3">
        <f t="shared" si="2"/>
        <v>0</v>
      </c>
      <c r="AI18" s="3">
        <f t="shared" si="2"/>
        <v>0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1.325742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4F06-6055-49D5-837A-D8573C4CCB65}">
  <dimension ref="A1:AT21"/>
  <sheetViews>
    <sheetView tabSelected="1" workbookViewId="0">
      <selection activeCell="D21" sqref="D21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18</v>
      </c>
      <c r="B1" s="7">
        <v>43791</v>
      </c>
    </row>
    <row r="3" spans="1:46" x14ac:dyDescent="0.3">
      <c r="A3" s="1" t="s">
        <v>2</v>
      </c>
      <c r="B3" s="2">
        <v>21</v>
      </c>
    </row>
    <row r="4" spans="1:46" x14ac:dyDescent="0.3">
      <c r="A4" s="1" t="s">
        <v>7</v>
      </c>
      <c r="B4" s="2"/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/>
      <c r="C8" s="2">
        <v>15</v>
      </c>
      <c r="D8" s="2">
        <v>15</v>
      </c>
      <c r="E8" s="2">
        <v>18</v>
      </c>
      <c r="F8" s="2">
        <v>18</v>
      </c>
      <c r="G8" s="2">
        <v>18</v>
      </c>
      <c r="H8" s="2">
        <v>20</v>
      </c>
      <c r="I8" s="2">
        <v>20</v>
      </c>
      <c r="J8" s="2">
        <v>20</v>
      </c>
      <c r="K8" s="2">
        <v>20</v>
      </c>
      <c r="L8" s="2">
        <v>20</v>
      </c>
      <c r="M8" s="2">
        <v>20</v>
      </c>
      <c r="N8" s="2">
        <v>20</v>
      </c>
      <c r="O8" s="2">
        <v>20</v>
      </c>
      <c r="P8" s="2">
        <v>20</v>
      </c>
      <c r="Q8" s="2">
        <v>25</v>
      </c>
      <c r="R8" s="2">
        <v>25</v>
      </c>
      <c r="S8" s="2">
        <v>25</v>
      </c>
      <c r="T8" s="2">
        <v>25</v>
      </c>
      <c r="U8" s="2">
        <v>25</v>
      </c>
      <c r="V8" s="2">
        <v>25</v>
      </c>
      <c r="W8" s="2">
        <v>25</v>
      </c>
      <c r="X8" s="2">
        <v>25</v>
      </c>
      <c r="Y8" s="2">
        <v>25</v>
      </c>
      <c r="Z8" s="2">
        <v>25</v>
      </c>
      <c r="AA8" s="2">
        <v>25</v>
      </c>
      <c r="AB8" s="2">
        <v>25</v>
      </c>
      <c r="AC8" s="2">
        <v>25</v>
      </c>
      <c r="AD8" s="2">
        <v>22</v>
      </c>
      <c r="AE8" s="2">
        <v>22</v>
      </c>
      <c r="AF8" s="2">
        <v>20</v>
      </c>
      <c r="AG8" s="2">
        <v>20</v>
      </c>
      <c r="AH8" s="2">
        <v>20</v>
      </c>
      <c r="AI8" s="2">
        <v>20</v>
      </c>
      <c r="AJ8" s="2">
        <v>18</v>
      </c>
      <c r="AK8" s="2">
        <v>15</v>
      </c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/>
      <c r="C9" s="2">
        <v>6</v>
      </c>
      <c r="D9" s="2">
        <v>6</v>
      </c>
      <c r="E9" s="2">
        <v>7</v>
      </c>
      <c r="F9" s="2">
        <v>7</v>
      </c>
      <c r="G9" s="2">
        <v>7</v>
      </c>
      <c r="H9" s="2">
        <v>8</v>
      </c>
      <c r="I9" s="2">
        <v>8</v>
      </c>
      <c r="J9" s="2">
        <v>8</v>
      </c>
      <c r="K9" s="2">
        <v>8</v>
      </c>
      <c r="L9" s="2">
        <v>8</v>
      </c>
      <c r="M9" s="2">
        <v>8</v>
      </c>
      <c r="N9" s="2">
        <v>8</v>
      </c>
      <c r="O9" s="2">
        <v>8</v>
      </c>
      <c r="P9" s="2">
        <v>8</v>
      </c>
      <c r="Q9" s="2">
        <v>10</v>
      </c>
      <c r="R9" s="2">
        <v>10</v>
      </c>
      <c r="S9" s="2">
        <v>10</v>
      </c>
      <c r="T9" s="2">
        <v>10</v>
      </c>
      <c r="U9" s="2">
        <v>10</v>
      </c>
      <c r="V9" s="2">
        <v>10</v>
      </c>
      <c r="W9" s="2">
        <v>10</v>
      </c>
      <c r="X9" s="2">
        <v>10</v>
      </c>
      <c r="Y9" s="2">
        <v>10</v>
      </c>
      <c r="Z9" s="2">
        <v>10</v>
      </c>
      <c r="AA9" s="2">
        <v>10</v>
      </c>
      <c r="AB9" s="2">
        <v>10</v>
      </c>
      <c r="AC9" s="2">
        <v>10</v>
      </c>
      <c r="AD9" s="2">
        <v>9</v>
      </c>
      <c r="AE9" s="2">
        <v>9</v>
      </c>
      <c r="AF9" s="2">
        <v>8</v>
      </c>
      <c r="AG9" s="2">
        <v>8</v>
      </c>
      <c r="AH9" s="2">
        <v>8</v>
      </c>
      <c r="AI9" s="2">
        <v>8</v>
      </c>
      <c r="AJ9" s="2">
        <v>7</v>
      </c>
      <c r="AK9" s="2">
        <v>6</v>
      </c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/>
      <c r="C10" s="2">
        <v>23</v>
      </c>
      <c r="D10" s="2">
        <v>28</v>
      </c>
      <c r="E10" s="2">
        <v>33</v>
      </c>
      <c r="F10" s="2">
        <v>40</v>
      </c>
      <c r="G10" s="2">
        <v>45</v>
      </c>
      <c r="H10" s="2">
        <v>50</v>
      </c>
      <c r="I10" s="2">
        <v>49</v>
      </c>
      <c r="J10" s="2">
        <v>48</v>
      </c>
      <c r="K10" s="2">
        <v>46</v>
      </c>
      <c r="L10" s="2">
        <v>47</v>
      </c>
      <c r="M10" s="2">
        <v>49</v>
      </c>
      <c r="N10" s="2">
        <v>49</v>
      </c>
      <c r="O10" s="2">
        <v>47</v>
      </c>
      <c r="P10" s="2">
        <v>52</v>
      </c>
      <c r="Q10" s="2">
        <v>49</v>
      </c>
      <c r="R10" s="2">
        <v>50</v>
      </c>
      <c r="S10" s="2">
        <v>56</v>
      </c>
      <c r="T10" s="2">
        <v>58</v>
      </c>
      <c r="U10" s="2">
        <v>55</v>
      </c>
      <c r="V10" s="2">
        <v>53</v>
      </c>
      <c r="W10" s="2">
        <v>59</v>
      </c>
      <c r="X10" s="2">
        <v>51</v>
      </c>
      <c r="Y10" s="2">
        <v>56</v>
      </c>
      <c r="Z10" s="2">
        <v>52</v>
      </c>
      <c r="AA10" s="2">
        <v>51</v>
      </c>
      <c r="AB10" s="2">
        <v>51</v>
      </c>
      <c r="AC10" s="2">
        <v>50</v>
      </c>
      <c r="AD10" s="2">
        <v>48</v>
      </c>
      <c r="AE10" s="2">
        <v>46</v>
      </c>
      <c r="AF10" s="2">
        <v>47</v>
      </c>
      <c r="AG10" s="2">
        <v>49</v>
      </c>
      <c r="AH10" s="2">
        <v>43</v>
      </c>
      <c r="AI10" s="2">
        <v>41</v>
      </c>
      <c r="AJ10" s="2">
        <v>35</v>
      </c>
      <c r="AK10" s="2">
        <v>37</v>
      </c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0</v>
      </c>
      <c r="C13" s="3">
        <f t="shared" ref="C13:AT13" si="0">C10/30</f>
        <v>0.76666666666666672</v>
      </c>
      <c r="D13" s="3">
        <f t="shared" si="0"/>
        <v>0.93333333333333335</v>
      </c>
      <c r="E13" s="3">
        <f t="shared" si="0"/>
        <v>1.1000000000000001</v>
      </c>
      <c r="F13" s="3">
        <f t="shared" si="0"/>
        <v>1.3333333333333333</v>
      </c>
      <c r="G13" s="3">
        <f t="shared" si="0"/>
        <v>1.5</v>
      </c>
      <c r="H13" s="3">
        <f t="shared" si="0"/>
        <v>1.6666666666666667</v>
      </c>
      <c r="I13" s="3">
        <f t="shared" si="0"/>
        <v>1.6333333333333333</v>
      </c>
      <c r="J13" s="3">
        <f t="shared" si="0"/>
        <v>1.6</v>
      </c>
      <c r="K13" s="3">
        <f t="shared" si="0"/>
        <v>1.5333333333333334</v>
      </c>
      <c r="L13" s="3">
        <f t="shared" si="0"/>
        <v>1.5666666666666667</v>
      </c>
      <c r="M13" s="3">
        <f t="shared" si="0"/>
        <v>1.6333333333333333</v>
      </c>
      <c r="N13" s="3">
        <f t="shared" si="0"/>
        <v>1.6333333333333333</v>
      </c>
      <c r="O13" s="3">
        <f t="shared" si="0"/>
        <v>1.5666666666666667</v>
      </c>
      <c r="P13" s="3">
        <f t="shared" si="0"/>
        <v>1.7333333333333334</v>
      </c>
      <c r="Q13" s="3">
        <f t="shared" si="0"/>
        <v>1.6333333333333333</v>
      </c>
      <c r="R13" s="3">
        <f t="shared" si="0"/>
        <v>1.6666666666666667</v>
      </c>
      <c r="S13" s="3">
        <f t="shared" si="0"/>
        <v>1.8666666666666667</v>
      </c>
      <c r="T13" s="3">
        <f t="shared" si="0"/>
        <v>1.9333333333333333</v>
      </c>
      <c r="U13" s="3">
        <f t="shared" si="0"/>
        <v>1.8333333333333333</v>
      </c>
      <c r="V13" s="3">
        <f t="shared" si="0"/>
        <v>1.7666666666666666</v>
      </c>
      <c r="W13" s="3">
        <f t="shared" si="0"/>
        <v>1.9666666666666666</v>
      </c>
      <c r="X13" s="3">
        <f t="shared" si="0"/>
        <v>1.7</v>
      </c>
      <c r="Y13" s="3">
        <f t="shared" si="0"/>
        <v>1.8666666666666667</v>
      </c>
      <c r="Z13" s="3">
        <f t="shared" si="0"/>
        <v>1.7333333333333334</v>
      </c>
      <c r="AA13" s="3">
        <f t="shared" si="0"/>
        <v>1.7</v>
      </c>
      <c r="AB13" s="3">
        <f t="shared" si="0"/>
        <v>1.7</v>
      </c>
      <c r="AC13" s="3">
        <f t="shared" si="0"/>
        <v>1.6666666666666667</v>
      </c>
      <c r="AD13" s="3">
        <f t="shared" si="0"/>
        <v>1.6</v>
      </c>
      <c r="AE13" s="3">
        <f t="shared" si="0"/>
        <v>1.5333333333333334</v>
      </c>
      <c r="AF13" s="3">
        <f t="shared" si="0"/>
        <v>1.5666666666666667</v>
      </c>
      <c r="AG13" s="3">
        <f t="shared" si="0"/>
        <v>1.6333333333333333</v>
      </c>
      <c r="AH13" s="3">
        <f t="shared" si="0"/>
        <v>1.4333333333333333</v>
      </c>
      <c r="AI13" s="3">
        <f t="shared" si="0"/>
        <v>1.3666666666666667</v>
      </c>
      <c r="AJ13" s="3">
        <f t="shared" si="0"/>
        <v>1.1666666666666667</v>
      </c>
      <c r="AK13" s="3">
        <f t="shared" si="0"/>
        <v>1.2333333333333334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6.0000000000000001E-3</v>
      </c>
      <c r="C14" s="3">
        <f t="shared" ref="C14:AT14" si="1" xml:space="preserve"> 0.252*C13 + 0.006</f>
        <v>0.19920000000000002</v>
      </c>
      <c r="D14" s="3">
        <f t="shared" si="1"/>
        <v>0.2412</v>
      </c>
      <c r="E14" s="3">
        <f t="shared" si="1"/>
        <v>0.28320000000000001</v>
      </c>
      <c r="F14" s="3">
        <f t="shared" si="1"/>
        <v>0.34199999999999997</v>
      </c>
      <c r="G14" s="3">
        <f t="shared" si="1"/>
        <v>0.38400000000000001</v>
      </c>
      <c r="H14" s="3">
        <f t="shared" si="1"/>
        <v>0.42600000000000005</v>
      </c>
      <c r="I14" s="3">
        <f t="shared" si="1"/>
        <v>0.41760000000000003</v>
      </c>
      <c r="J14" s="3">
        <f t="shared" si="1"/>
        <v>0.40920000000000001</v>
      </c>
      <c r="K14" s="3">
        <f t="shared" si="1"/>
        <v>0.39240000000000003</v>
      </c>
      <c r="L14" s="3">
        <f t="shared" si="1"/>
        <v>0.40079999999999999</v>
      </c>
      <c r="M14" s="3">
        <f t="shared" si="1"/>
        <v>0.41760000000000003</v>
      </c>
      <c r="N14" s="3">
        <f t="shared" si="1"/>
        <v>0.41760000000000003</v>
      </c>
      <c r="O14" s="3">
        <f t="shared" si="1"/>
        <v>0.40079999999999999</v>
      </c>
      <c r="P14" s="3">
        <f t="shared" si="1"/>
        <v>0.44280000000000003</v>
      </c>
      <c r="Q14" s="3">
        <f t="shared" si="1"/>
        <v>0.41760000000000003</v>
      </c>
      <c r="R14" s="3">
        <f t="shared" si="1"/>
        <v>0.42600000000000005</v>
      </c>
      <c r="S14" s="3">
        <f t="shared" si="1"/>
        <v>0.47639999999999999</v>
      </c>
      <c r="T14" s="3">
        <f t="shared" si="1"/>
        <v>0.49320000000000003</v>
      </c>
      <c r="U14" s="3">
        <f t="shared" si="1"/>
        <v>0.46799999999999997</v>
      </c>
      <c r="V14" s="3">
        <f t="shared" si="1"/>
        <v>0.45119999999999999</v>
      </c>
      <c r="W14" s="3">
        <f t="shared" si="1"/>
        <v>0.50159999999999993</v>
      </c>
      <c r="X14" s="3">
        <f t="shared" si="1"/>
        <v>0.43440000000000001</v>
      </c>
      <c r="Y14" s="3">
        <f t="shared" si="1"/>
        <v>0.47639999999999999</v>
      </c>
      <c r="Z14" s="3">
        <f t="shared" si="1"/>
        <v>0.44280000000000003</v>
      </c>
      <c r="AA14" s="3">
        <f t="shared" si="1"/>
        <v>0.43440000000000001</v>
      </c>
      <c r="AB14" s="3">
        <f t="shared" si="1"/>
        <v>0.43440000000000001</v>
      </c>
      <c r="AC14" s="3">
        <f t="shared" si="1"/>
        <v>0.42600000000000005</v>
      </c>
      <c r="AD14" s="3">
        <f t="shared" si="1"/>
        <v>0.40920000000000001</v>
      </c>
      <c r="AE14" s="3">
        <f t="shared" si="1"/>
        <v>0.39240000000000003</v>
      </c>
      <c r="AF14" s="3">
        <f t="shared" si="1"/>
        <v>0.40079999999999999</v>
      </c>
      <c r="AG14" s="3">
        <f t="shared" si="1"/>
        <v>0.41760000000000003</v>
      </c>
      <c r="AH14" s="3">
        <f t="shared" si="1"/>
        <v>0.36720000000000003</v>
      </c>
      <c r="AI14" s="3">
        <f t="shared" si="1"/>
        <v>0.35039999999999999</v>
      </c>
      <c r="AJ14" s="3">
        <f t="shared" si="1"/>
        <v>0.30000000000000004</v>
      </c>
      <c r="AK14" s="3">
        <f t="shared" si="1"/>
        <v>0.31680000000000003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0</v>
      </c>
      <c r="C18" s="3">
        <f t="shared" ref="C18:AT18" si="2">C14*$C$17*(C8/100)</f>
        <v>1.494E-2</v>
      </c>
      <c r="D18" s="3">
        <f t="shared" si="2"/>
        <v>1.8089999999999998E-2</v>
      </c>
      <c r="E18" s="3">
        <f t="shared" si="2"/>
        <v>2.5488E-2</v>
      </c>
      <c r="F18" s="3">
        <f t="shared" si="2"/>
        <v>3.0779999999999995E-2</v>
      </c>
      <c r="G18" s="3">
        <f t="shared" si="2"/>
        <v>3.456E-2</v>
      </c>
      <c r="H18" s="3">
        <f t="shared" si="2"/>
        <v>4.2600000000000006E-2</v>
      </c>
      <c r="I18" s="3">
        <f t="shared" si="2"/>
        <v>4.1760000000000005E-2</v>
      </c>
      <c r="J18" s="3">
        <f t="shared" si="2"/>
        <v>4.0920000000000005E-2</v>
      </c>
      <c r="K18" s="3">
        <f t="shared" si="2"/>
        <v>3.9240000000000004E-2</v>
      </c>
      <c r="L18" s="3">
        <f t="shared" si="2"/>
        <v>4.0080000000000005E-2</v>
      </c>
      <c r="M18" s="3">
        <f t="shared" si="2"/>
        <v>4.1760000000000005E-2</v>
      </c>
      <c r="N18" s="3">
        <f t="shared" si="2"/>
        <v>4.1760000000000005E-2</v>
      </c>
      <c r="O18" s="3">
        <f t="shared" si="2"/>
        <v>4.0080000000000005E-2</v>
      </c>
      <c r="P18" s="3">
        <f t="shared" si="2"/>
        <v>4.4280000000000007E-2</v>
      </c>
      <c r="Q18" s="3">
        <f t="shared" si="2"/>
        <v>5.2200000000000003E-2</v>
      </c>
      <c r="R18" s="3">
        <f t="shared" si="2"/>
        <v>5.3250000000000006E-2</v>
      </c>
      <c r="S18" s="3">
        <f t="shared" si="2"/>
        <v>5.9549999999999999E-2</v>
      </c>
      <c r="T18" s="3">
        <f t="shared" si="2"/>
        <v>6.1650000000000003E-2</v>
      </c>
      <c r="U18" s="3">
        <f t="shared" si="2"/>
        <v>5.8499999999999996E-2</v>
      </c>
      <c r="V18" s="3">
        <f t="shared" si="2"/>
        <v>5.6399999999999999E-2</v>
      </c>
      <c r="W18" s="3">
        <f t="shared" si="2"/>
        <v>6.2699999999999992E-2</v>
      </c>
      <c r="X18" s="3">
        <f t="shared" si="2"/>
        <v>5.4300000000000001E-2</v>
      </c>
      <c r="Y18" s="3">
        <f t="shared" si="2"/>
        <v>5.9549999999999999E-2</v>
      </c>
      <c r="Z18" s="3">
        <f t="shared" si="2"/>
        <v>5.5350000000000003E-2</v>
      </c>
      <c r="AA18" s="3">
        <f t="shared" si="2"/>
        <v>5.4300000000000001E-2</v>
      </c>
      <c r="AB18" s="3">
        <f t="shared" si="2"/>
        <v>5.4300000000000001E-2</v>
      </c>
      <c r="AC18" s="3">
        <f t="shared" si="2"/>
        <v>5.3250000000000006E-2</v>
      </c>
      <c r="AD18" s="3">
        <f t="shared" si="2"/>
        <v>4.5012000000000003E-2</v>
      </c>
      <c r="AE18" s="3">
        <f t="shared" si="2"/>
        <v>4.3164000000000001E-2</v>
      </c>
      <c r="AF18" s="3">
        <f t="shared" si="2"/>
        <v>4.0080000000000005E-2</v>
      </c>
      <c r="AG18" s="3">
        <f t="shared" si="2"/>
        <v>4.1760000000000005E-2</v>
      </c>
      <c r="AH18" s="3">
        <f t="shared" si="2"/>
        <v>3.6720000000000003E-2</v>
      </c>
      <c r="AI18" s="3">
        <f t="shared" si="2"/>
        <v>3.5040000000000002E-2</v>
      </c>
      <c r="AJ18" s="3">
        <f t="shared" si="2"/>
        <v>2.7000000000000003E-2</v>
      </c>
      <c r="AK18" s="3">
        <f t="shared" si="2"/>
        <v>2.376E-2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1.5241740000000001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3275-DC35-46EB-874F-F18DEE61F5D7}">
  <dimension ref="A1"/>
  <sheetViews>
    <sheetView zoomScale="50" zoomScaleNormal="50" workbookViewId="0">
      <selection activeCell="Q20" sqref="Q20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S1_221119</vt:lpstr>
      <vt:lpstr>S2_221119</vt:lpstr>
      <vt:lpstr>S3_221119</vt:lpstr>
      <vt:lpstr>S4_221119</vt:lpstr>
      <vt:lpstr>S5_221119</vt:lpstr>
      <vt:lpstr>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Carina</cp:lastModifiedBy>
  <dcterms:created xsi:type="dcterms:W3CDTF">2019-12-12T11:12:44Z</dcterms:created>
  <dcterms:modified xsi:type="dcterms:W3CDTF">2019-12-12T13:38:15Z</dcterms:modified>
</cp:coreProperties>
</file>